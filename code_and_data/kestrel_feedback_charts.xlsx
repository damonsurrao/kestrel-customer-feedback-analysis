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be52cc0499ddc300/Damon/Damon_Apply/CompanyPrepDocs/Publicis_Sapient_Assignment/"/>
    </mc:Choice>
  </mc:AlternateContent>
  <xr:revisionPtr revIDLastSave="27" documentId="11_37B54FC84FE9E906ABA2E4F4FE8D0503BEA4D40F" xr6:coauthVersionLast="47" xr6:coauthVersionMax="47" xr10:uidLastSave="{A7233559-DE0C-4161-B2F1-EE5C3D4D1BBF}"/>
  <bookViews>
    <workbookView xWindow="264" yWindow="348" windowWidth="22776" windowHeight="13332" firstSheet="3" activeTab="5" xr2:uid="{00000000-000D-0000-FFFF-FFFF00000000}"/>
  </bookViews>
  <sheets>
    <sheet name="Theme Bubble Chart" sheetId="1" r:id="rId1"/>
    <sheet name="Sentiment by Dealership" sheetId="2" r:id="rId2"/>
    <sheet name="Theme Trends" sheetId="3" r:id="rId3"/>
    <sheet name="Dept × Theme Heatmap" sheetId="4" r:id="rId4"/>
    <sheet name="Severity Analysis" sheetId="5" r:id="rId5"/>
    <sheet name="Monthly Summary" sheetId="6" r:id="rId6"/>
  </sheets>
  <calcPr calcId="0"/>
</workbook>
</file>

<file path=xl/sharedStrings.xml><?xml version="1.0" encoding="utf-8"?>
<sst xmlns="http://schemas.openxmlformats.org/spreadsheetml/2006/main" count="137" uniqueCount="91">
  <si>
    <t>Negative Feedback: Theme Impact Analysis</t>
  </si>
  <si>
    <t>Each bubble = one theme.  Size = avg severity.  Position = reach across customers &amp; departments.</t>
  </si>
  <si>
    <t>Theme</t>
  </si>
  <si>
    <t>Departments Impacted</t>
  </si>
  <si>
    <t>Customers Impacted</t>
  </si>
  <si>
    <t>Avg Severity</t>
  </si>
  <si>
    <t>Total Issues</t>
  </si>
  <si>
    <t>Critical+High Count</t>
  </si>
  <si>
    <t>Communication &amp; Updates</t>
  </si>
  <si>
    <t>Timeliness &amp; Wait Times</t>
  </si>
  <si>
    <t>Repair &amp; Service Quality</t>
  </si>
  <si>
    <t>Pricing &amp; Charges</t>
  </si>
  <si>
    <t>Parts Availability &amp; Delays</t>
  </si>
  <si>
    <t>Staff Attitude &amp; Behaviour</t>
  </si>
  <si>
    <t>Booking &amp; Scheduling</t>
  </si>
  <si>
    <t>Safety Concern</t>
  </si>
  <si>
    <t>Facilities &amp; Amenities</t>
  </si>
  <si>
    <t>Sales Process &amp; Handover</t>
  </si>
  <si>
    <t>Vehicle Knowledge &amp; Explanation</t>
  </si>
  <si>
    <t>Positive Experience (General)</t>
  </si>
  <si>
    <t>Insufficient / Unclear</t>
  </si>
  <si>
    <t>Sentiment Distribution by Dealership</t>
  </si>
  <si>
    <t>Sorted by % negative feedback.</t>
  </si>
  <si>
    <t>Dealership</t>
  </si>
  <si>
    <t>Positive</t>
  </si>
  <si>
    <t>Neutral</t>
  </si>
  <si>
    <t>Mixed</t>
  </si>
  <si>
    <t>Negative</t>
  </si>
  <si>
    <t>Total</t>
  </si>
  <si>
    <t>Negative %</t>
  </si>
  <si>
    <t>Dandenong</t>
  </si>
  <si>
    <t>Parramatta</t>
  </si>
  <si>
    <t>Rockhampton</t>
  </si>
  <si>
    <t>Essendon</t>
  </si>
  <si>
    <t>Townsville</t>
  </si>
  <si>
    <t>Chatswood</t>
  </si>
  <si>
    <t>Southport</t>
  </si>
  <si>
    <t>Chermside</t>
  </si>
  <si>
    <t>Geelong</t>
  </si>
  <si>
    <t>Ipswich</t>
  </si>
  <si>
    <t>Frankston</t>
  </si>
  <si>
    <t>Toowoomba</t>
  </si>
  <si>
    <t>Newcastle</t>
  </si>
  <si>
    <t>Box Hill</t>
  </si>
  <si>
    <t>Ballarat</t>
  </si>
  <si>
    <t>Ringwood</t>
  </si>
  <si>
    <t>Penrith</t>
  </si>
  <si>
    <t>Bendigo</t>
  </si>
  <si>
    <t>Tamworth</t>
  </si>
  <si>
    <t>Liverpool</t>
  </si>
  <si>
    <t>Wollongong</t>
  </si>
  <si>
    <t>Shepparton</t>
  </si>
  <si>
    <t>Springwood</t>
  </si>
  <si>
    <t>Noosa</t>
  </si>
  <si>
    <t>Issue Theme Trends Over Time</t>
  </si>
  <si>
    <t>Top 8 themes by total issue count, monthly.</t>
  </si>
  <si>
    <t>Month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</si>
  <si>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</si>
  <si>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</si>
  <si>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</si>
  <si>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</si>
  <si>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</si>
  <si>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</si>
  <si>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</si>
  <si>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</si>
  <si>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</si>
  <si>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</si>
  <si>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</si>
  <si>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</si>
  <si>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</si>
  <si>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</si>
  <si>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</si>
  <si>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Negative Issues: Department × Theme Matrix</t>
  </si>
  <si>
    <t>Conditional colour scale highlights hotspots (white → red).</t>
  </si>
  <si>
    <t>Department</t>
  </si>
  <si>
    <t>Parts</t>
  </si>
  <si>
    <t>Sales</t>
  </si>
  <si>
    <t>Service</t>
  </si>
  <si>
    <t>Unknown</t>
  </si>
  <si>
    <t>Issue Severity by Department</t>
  </si>
  <si>
    <t>AI-classified severity levels across departments.</t>
  </si>
  <si>
    <t>Low</t>
  </si>
  <si>
    <t>Moderate</t>
  </si>
  <si>
    <t>High</t>
  </si>
  <si>
    <t>Critical</t>
  </si>
  <si>
    <t>High+Critical %</t>
  </si>
  <si>
    <t>Monthly Feedback Summary</t>
  </si>
  <si>
    <t>Volume, ratings and sentiment over time.</t>
  </si>
  <si>
    <t>Total Reviews</t>
  </si>
  <si>
    <t>Avg Rating</t>
  </si>
  <si>
    <t>Positive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</si>
</sst>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1B2A4A"/>
      <name val="Arial"/>
    </font>
    <font>
      <sz val="11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FEEEE"/>
        <bgColor rgb="FFFFEEEE"/>
      </patternFill>
    </fill>
    <fill>
      <patternFill patternType="solid">
        <fgColor rgb="FFFFF8F8"/>
        <bgColor rgb="FFFFF8F8"/>
      </patternFill>
    </fill>
    <fill>
      <patternFill patternType="solid">
        <fgColor rgb="FFFFFEFE"/>
        <bgColor rgb="FFFFFEFE"/>
      </patternFill>
    </fill>
    <fill>
      <patternFill patternType="solid">
        <fgColor rgb="FFFFF7F7"/>
        <bgColor rgb="FFFFF7F7"/>
      </patternFill>
    </fill>
    <fill>
      <patternFill patternType="solid">
        <fgColor rgb="FFFFE3E3"/>
        <bgColor rgb="FFFFE3E3"/>
      </patternFill>
    </fill>
    <fill>
      <patternFill patternType="solid">
        <fgColor rgb="FFFFF9F9"/>
        <bgColor rgb="FFFFF9F9"/>
      </patternFill>
    </fill>
    <fill>
      <patternFill patternType="solid">
        <fgColor rgb="FFFFFDFD"/>
        <bgColor rgb="FFFFFDFD"/>
      </patternFill>
    </fill>
    <fill>
      <patternFill patternType="solid">
        <fgColor rgb="FFFFEDED"/>
        <bgColor rgb="FFFFEDED"/>
      </patternFill>
    </fill>
    <fill>
      <patternFill patternType="solid">
        <fgColor rgb="FFFFF1F1"/>
        <bgColor rgb="FFFFF1F1"/>
      </patternFill>
    </fill>
    <fill>
      <patternFill patternType="solid">
        <fgColor rgb="FFFFFCFC"/>
        <bgColor rgb="FFFFFCFC"/>
      </patternFill>
    </fill>
    <fill>
      <patternFill patternType="solid">
        <fgColor rgb="FFFFE5E5"/>
        <bgColor rgb="FFFFE5E5"/>
      </patternFill>
    </fill>
    <fill>
      <patternFill patternType="solid">
        <fgColor rgb="FFFFF3F3"/>
        <bgColor rgb="FFFFF3F3"/>
      </patternFill>
    </fill>
    <fill>
      <patternFill patternType="solid">
        <fgColor rgb="FFFF4C4C"/>
        <bgColor rgb="FFFF4C4C"/>
      </patternFill>
    </fill>
    <fill>
      <patternFill patternType="solid">
        <fgColor rgb="FFFFA3A3"/>
        <bgColor rgb="FFFFA3A3"/>
      </patternFill>
    </fill>
    <fill>
      <patternFill patternType="solid">
        <fgColor rgb="FFFFA2A2"/>
        <bgColor rgb="FFFFA2A2"/>
      </patternFill>
    </fill>
    <fill>
      <patternFill patternType="solid">
        <fgColor rgb="FFFFB3B3"/>
        <bgColor rgb="FFFFB3B3"/>
      </patternFill>
    </fill>
    <fill>
      <patternFill patternType="solid">
        <fgColor rgb="FFFFD0D0"/>
        <bgColor rgb="FFFFD0D0"/>
      </patternFill>
    </fill>
    <fill>
      <patternFill patternType="solid">
        <fgColor rgb="FFFFDBDB"/>
        <bgColor rgb="FFFFDBDB"/>
      </patternFill>
    </fill>
    <fill>
      <patternFill patternType="solid">
        <fgColor rgb="FFFFC9C9"/>
        <bgColor rgb="FFFFC9C9"/>
      </patternFill>
    </fill>
    <fill>
      <patternFill patternType="solid">
        <fgColor rgb="FFFFE1E1"/>
        <bgColor rgb="FFFFE1E1"/>
      </patternFill>
    </fill>
    <fill>
      <patternFill patternType="solid">
        <fgColor rgb="FFFFFBFB"/>
        <bgColor rgb="FFFFFB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0" borderId="0" xfId="0" applyFont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4" fillId="21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0" fontId="4" fillId="23" borderId="0" xfId="0" applyFont="1" applyFill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Theme Impact: Departments vs Customers (bubble = severity)</a:t>
            </a:r>
          </a:p>
        </c:rich>
      </c:tx>
      <c:layout>
        <c:manualLayout>
          <c:xMode val="edge"/>
          <c:yMode val="edge"/>
          <c:x val="0.15878615255292899"/>
          <c:y val="1.959876543209876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968343253968255"/>
          <c:y val="7.2716358024691355E-2"/>
          <c:w val="0.61918846712133369"/>
          <c:h val="0.80371018518518522"/>
        </c:manualLayout>
      </c:layout>
      <c:bubbleChart>
        <c:varyColors val="1"/>
        <c:ser>
          <c:idx val="0"/>
          <c:order val="0"/>
          <c:tx>
            <c:v>Communication &amp; Updates</c:v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xVal>
            <c:numRef>
              <c:f>'Theme Bubble Chart'!$B$5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'Theme Bubble Chart'!$C$5</c:f>
              <c:numCache>
                <c:formatCode>General</c:formatCode>
                <c:ptCount val="1"/>
                <c:pt idx="0">
                  <c:v>779</c:v>
                </c:pt>
              </c:numCache>
            </c:numRef>
          </c:yVal>
          <c:bubbleSize>
            <c:numRef>
              <c:f>'Theme Bubble Chart'!$D$5</c:f>
              <c:numCache>
                <c:formatCode>General</c:formatCode>
                <c:ptCount val="1"/>
                <c:pt idx="0">
                  <c:v>2.27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7F-4313-A25B-11E0A7C14157}"/>
            </c:ext>
          </c:extLst>
        </c:ser>
        <c:ser>
          <c:idx val="1"/>
          <c:order val="1"/>
          <c:tx>
            <c:v>Timeliness &amp; Wait Times</c:v>
          </c:tx>
          <c:spPr>
            <a:solidFill>
              <a:srgbClr val="DC2626"/>
            </a:solidFill>
            <a:ln>
              <a:solidFill>
                <a:srgbClr val="DC2626"/>
              </a:solidFill>
              <a:prstDash val="solid"/>
            </a:ln>
          </c:spPr>
          <c:invertIfNegative val="1"/>
          <c:xVal>
            <c:numRef>
              <c:f>'Theme Bubble Chart'!$B$6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'Theme Bubble Chart'!$C$6</c:f>
              <c:numCache>
                <c:formatCode>General</c:formatCode>
                <c:ptCount val="1"/>
                <c:pt idx="0">
                  <c:v>409</c:v>
                </c:pt>
              </c:numCache>
            </c:numRef>
          </c:yVal>
          <c:bubbleSize>
            <c:numRef>
              <c:f>'Theme Bubble Chart'!$D$6</c:f>
              <c:numCache>
                <c:formatCode>General</c:formatCode>
                <c:ptCount val="1"/>
                <c:pt idx="0">
                  <c:v>2.08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C262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F7F-4313-A25B-11E0A7C14157}"/>
            </c:ext>
          </c:extLst>
        </c:ser>
        <c:ser>
          <c:idx val="2"/>
          <c:order val="2"/>
          <c:tx>
            <c:v>Repair &amp; Service Quality</c:v>
          </c:tx>
          <c:spPr>
            <a:solidFill>
              <a:srgbClr val="D97706"/>
            </a:solidFill>
            <a:ln>
              <a:solidFill>
                <a:srgbClr val="D97706"/>
              </a:solidFill>
              <a:prstDash val="solid"/>
            </a:ln>
          </c:spPr>
          <c:invertIfNegative val="1"/>
          <c:xVal>
            <c:numRef>
              <c:f>'Theme Bubble Chart'!$B$7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'Theme Bubble Chart'!$C$7</c:f>
              <c:numCache>
                <c:formatCode>General</c:formatCode>
                <c:ptCount val="1"/>
                <c:pt idx="0">
                  <c:v>348</c:v>
                </c:pt>
              </c:numCache>
            </c:numRef>
          </c:yVal>
          <c:bubbleSize>
            <c:numRef>
              <c:f>'Theme Bubble Chart'!$D$7</c:f>
              <c:numCache>
                <c:formatCode>General</c:formatCode>
                <c:ptCount val="1"/>
                <c:pt idx="0">
                  <c:v>2.81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9770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F7F-4313-A25B-11E0A7C14157}"/>
            </c:ext>
          </c:extLst>
        </c:ser>
        <c:ser>
          <c:idx val="3"/>
          <c:order val="3"/>
          <c:tx>
            <c:v>Pricing &amp; Charges</c:v>
          </c:tx>
          <c:spPr>
            <a:solidFill>
              <a:srgbClr val="059669"/>
            </a:solidFill>
            <a:ln>
              <a:solidFill>
                <a:srgbClr val="059669"/>
              </a:solidFill>
              <a:prstDash val="solid"/>
            </a:ln>
          </c:spPr>
          <c:invertIfNegative val="1"/>
          <c:xVal>
            <c:numRef>
              <c:f>'Theme Bubble Chart'!$B$8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'Theme Bubble Chart'!$C$8</c:f>
              <c:numCache>
                <c:formatCode>General</c:formatCode>
                <c:ptCount val="1"/>
                <c:pt idx="0">
                  <c:v>360</c:v>
                </c:pt>
              </c:numCache>
            </c:numRef>
          </c:yVal>
          <c:bubbleSize>
            <c:numRef>
              <c:f>'Theme Bubble Chart'!$D$8</c:f>
              <c:numCache>
                <c:formatCode>General</c:formatCode>
                <c:ptCount val="1"/>
                <c:pt idx="0">
                  <c:v>2.69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5966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F7F-4313-A25B-11E0A7C14157}"/>
            </c:ext>
          </c:extLst>
        </c:ser>
        <c:ser>
          <c:idx val="4"/>
          <c:order val="4"/>
          <c:tx>
            <c:v>Parts Availability &amp; Delays</c:v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</c:spPr>
          <c:invertIfNegative val="1"/>
          <c:xVal>
            <c:numRef>
              <c:f>'Theme Bubble Chart'!$B$9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'Theme Bubble Chart'!$C$9</c:f>
              <c:numCache>
                <c:formatCode>General</c:formatCode>
                <c:ptCount val="1"/>
                <c:pt idx="0">
                  <c:v>275</c:v>
                </c:pt>
              </c:numCache>
            </c:numRef>
          </c:yVal>
          <c:bubbleSize>
            <c:numRef>
              <c:f>'Theme Bubble Chart'!$D$9</c:f>
              <c:numCache>
                <c:formatCode>General</c:formatCode>
                <c:ptCount val="1"/>
                <c:pt idx="0">
                  <c:v>2.31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3A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F7F-4313-A25B-11E0A7C14157}"/>
            </c:ext>
          </c:extLst>
        </c:ser>
        <c:ser>
          <c:idx val="5"/>
          <c:order val="5"/>
          <c:tx>
            <c:v>Staff Attitude &amp; Behaviour</c:v>
          </c:tx>
          <c:spPr>
            <a:solidFill>
              <a:srgbClr val="DB2777"/>
            </a:solidFill>
            <a:ln>
              <a:solidFill>
                <a:srgbClr val="DB2777"/>
              </a:solidFill>
              <a:prstDash val="solid"/>
            </a:ln>
          </c:spPr>
          <c:invertIfNegative val="1"/>
          <c:xVal>
            <c:numRef>
              <c:f>'Theme Bubble Chart'!$B$10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'Theme Bubble Chart'!$C$10</c:f>
              <c:numCache>
                <c:formatCode>General</c:formatCode>
                <c:ptCount val="1"/>
                <c:pt idx="0">
                  <c:v>215</c:v>
                </c:pt>
              </c:numCache>
            </c:numRef>
          </c:yVal>
          <c:bubbleSize>
            <c:numRef>
              <c:f>'Theme Bubble Chart'!$D$10</c:f>
              <c:numCache>
                <c:formatCode>General</c:formatCode>
                <c:ptCount val="1"/>
                <c:pt idx="0">
                  <c:v>2.52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B277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F7F-4313-A25B-11E0A7C14157}"/>
            </c:ext>
          </c:extLst>
        </c:ser>
        <c:ser>
          <c:idx val="6"/>
          <c:order val="6"/>
          <c:tx>
            <c:v>Booking &amp; Scheduling</c:v>
          </c:tx>
          <c:spPr>
            <a:solidFill>
              <a:srgbClr val="0891B2"/>
            </a:solidFill>
            <a:ln>
              <a:solidFill>
                <a:srgbClr val="0891B2"/>
              </a:solidFill>
              <a:prstDash val="solid"/>
            </a:ln>
          </c:spPr>
          <c:invertIfNegative val="1"/>
          <c:xVal>
            <c:numRef>
              <c:f>'Theme Bubble Chart'!$B$11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'Theme Bubble Chart'!$C$11</c:f>
              <c:numCache>
                <c:formatCode>General</c:formatCode>
                <c:ptCount val="1"/>
                <c:pt idx="0">
                  <c:v>201</c:v>
                </c:pt>
              </c:numCache>
            </c:numRef>
          </c:yVal>
          <c:bubbleSize>
            <c:numRef>
              <c:f>'Theme Bubble Chart'!$D$11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891B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F7F-4313-A25B-11E0A7C14157}"/>
            </c:ext>
          </c:extLst>
        </c:ser>
        <c:ser>
          <c:idx val="7"/>
          <c:order val="7"/>
          <c:tx>
            <c:v>Safety Concern</c:v>
          </c:tx>
          <c:spPr>
            <a:solidFill>
              <a:srgbClr val="CA8A04"/>
            </a:solidFill>
            <a:ln>
              <a:solidFill>
                <a:srgbClr val="CA8A04"/>
              </a:solidFill>
              <a:prstDash val="solid"/>
            </a:ln>
          </c:spPr>
          <c:invertIfNegative val="1"/>
          <c:xVal>
            <c:numRef>
              <c:f>'Theme Bubble Chart'!$B$12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'Theme Bubble Chart'!$C$12</c:f>
              <c:numCache>
                <c:formatCode>General</c:formatCode>
                <c:ptCount val="1"/>
                <c:pt idx="0">
                  <c:v>131</c:v>
                </c:pt>
              </c:numCache>
            </c:numRef>
          </c:yVal>
          <c:bubbleSize>
            <c:numRef>
              <c:f>'Theme Bubble Chart'!$D$12</c:f>
              <c:numCache>
                <c:formatCode>General</c:formatCode>
                <c:ptCount val="1"/>
                <c:pt idx="0">
                  <c:v>4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A8A0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F7F-4313-A25B-11E0A7C14157}"/>
            </c:ext>
          </c:extLst>
        </c:ser>
        <c:ser>
          <c:idx val="8"/>
          <c:order val="8"/>
          <c:tx>
            <c:v>Facilities &amp; Amenities</c:v>
          </c:tx>
          <c:spPr>
            <a:solidFill>
              <a:srgbClr val="4F46E5"/>
            </a:solidFill>
            <a:ln>
              <a:solidFill>
                <a:srgbClr val="4F46E5"/>
              </a:solidFill>
              <a:prstDash val="solid"/>
            </a:ln>
          </c:spPr>
          <c:invertIfNegative val="1"/>
          <c:xVal>
            <c:numRef>
              <c:f>'Theme Bubble Chart'!$B$13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'Theme Bubble Chart'!$C$13</c:f>
              <c:numCache>
                <c:formatCode>General</c:formatCode>
                <c:ptCount val="1"/>
                <c:pt idx="0">
                  <c:v>94</c:v>
                </c:pt>
              </c:numCache>
            </c:numRef>
          </c:yVal>
          <c:bubbleSize>
            <c:numRef>
              <c:f>'Theme Bubble Chart'!$D$13</c:f>
              <c:numCache>
                <c:formatCode>General</c:formatCode>
                <c:ptCount val="1"/>
                <c:pt idx="0">
                  <c:v>1.35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F46E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F7F-4313-A25B-11E0A7C14157}"/>
            </c:ext>
          </c:extLst>
        </c:ser>
        <c:ser>
          <c:idx val="9"/>
          <c:order val="9"/>
          <c:tx>
            <c:v>Sales Process &amp; Handover</c:v>
          </c:tx>
          <c:spPr>
            <a:solidFill>
              <a:srgbClr val="BE123C"/>
            </a:solidFill>
            <a:ln>
              <a:solidFill>
                <a:srgbClr val="BE123C"/>
              </a:solidFill>
              <a:prstDash val="solid"/>
            </a:ln>
          </c:spPr>
          <c:invertIfNegative val="1"/>
          <c:xVal>
            <c:numRef>
              <c:f>'Theme Bubble Chart'!$B$14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'Theme Bubble Chart'!$C$14</c:f>
              <c:numCache>
                <c:formatCode>General</c:formatCode>
                <c:ptCount val="1"/>
                <c:pt idx="0">
                  <c:v>100</c:v>
                </c:pt>
              </c:numCache>
            </c:numRef>
          </c:yVal>
          <c:bubbleSize>
            <c:numRef>
              <c:f>'Theme Bubble Chart'!$D$14</c:f>
              <c:numCache>
                <c:formatCode>General</c:formatCode>
                <c:ptCount val="1"/>
                <c:pt idx="0">
                  <c:v>2.59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E123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F7F-4313-A25B-11E0A7C14157}"/>
            </c:ext>
          </c:extLst>
        </c:ser>
        <c:ser>
          <c:idx val="10"/>
          <c:order val="10"/>
          <c:tx>
            <c:v>Vehicle Knowledge &amp; Explanation</c:v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xVal>
            <c:numRef>
              <c:f>'Theme Bubble Chart'!$B$15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'Theme Bubble Chart'!$C$15</c:f>
              <c:numCache>
                <c:formatCode>General</c:formatCode>
                <c:ptCount val="1"/>
                <c:pt idx="0">
                  <c:v>91</c:v>
                </c:pt>
              </c:numCache>
            </c:numRef>
          </c:yVal>
          <c:bubbleSize>
            <c:numRef>
              <c:f>'Theme Bubble Chart'!$D$15</c:f>
              <c:numCache>
                <c:formatCode>General</c:formatCode>
                <c:ptCount val="1"/>
                <c:pt idx="0">
                  <c:v>2.0699999999999998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EF7F-4313-A25B-11E0A7C14157}"/>
            </c:ext>
          </c:extLst>
        </c:ser>
        <c:ser>
          <c:idx val="11"/>
          <c:order val="11"/>
          <c:tx>
            <c:v>Positive Experience (General)</c:v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xVal>
            <c:numRef>
              <c:f>'Theme Bubble Chart'!$B$16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'Theme Bubble Chart'!$C$16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bubbleSize>
            <c:numRef>
              <c:f>'Theme Bubble Chart'!$D$16</c:f>
              <c:numCache>
                <c:formatCode>General</c:formatCode>
                <c:ptCount val="1"/>
                <c:pt idx="0">
                  <c:v>1.67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EF7F-4313-A25B-11E0A7C14157}"/>
            </c:ext>
          </c:extLst>
        </c:ser>
        <c:ser>
          <c:idx val="12"/>
          <c:order val="12"/>
          <c:tx>
            <c:v>Insufficient / Unclear</c:v>
          </c:tx>
          <c:spPr>
            <a:solidFill>
              <a:srgbClr val="DC2626"/>
            </a:solidFill>
            <a:ln>
              <a:solidFill>
                <a:srgbClr val="DC2626"/>
              </a:solidFill>
              <a:prstDash val="solid"/>
            </a:ln>
          </c:spPr>
          <c:invertIfNegative val="1"/>
          <c:xVal>
            <c:numRef>
              <c:f>'Theme Bubble Chart'!$B$17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'Theme Bubble Chart'!$C$17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bubbleSize>
            <c:numRef>
              <c:f>'Theme Bubble Chart'!$D$17</c:f>
              <c:numCache>
                <c:formatCode>General</c:formatCode>
                <c:ptCount val="1"/>
                <c:pt idx="0">
                  <c:v>1.1200000000000001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C262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EF7F-4313-A25B-11E0A7C14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10"/>
        <c:axId val="20"/>
      </c:bubble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Departments Impacted</a:t>
                </a:r>
              </a:p>
            </c:rich>
          </c:tx>
          <c:layout>
            <c:manualLayout>
              <c:xMode val="edge"/>
              <c:yMode val="edge"/>
              <c:x val="0.30961512268067876"/>
              <c:y val="0.94074074074074077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 Impacted</a:t>
                </a:r>
              </a:p>
            </c:rich>
          </c:tx>
          <c:layout>
            <c:manualLayout>
              <c:xMode val="edge"/>
              <c:yMode val="edge"/>
              <c:x val="2.3859126984126983E-2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Sentiment Breakdown by Dealership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920744047619047"/>
          <c:y val="8.8194459026861613E-2"/>
          <c:w val="0.72151845238095236"/>
          <c:h val="0.77730551873437814"/>
        </c:manualLayout>
      </c:layout>
      <c:barChart>
        <c:barDir val="bar"/>
        <c:grouping val="stacked"/>
        <c:varyColors val="1"/>
        <c:ser>
          <c:idx val="0"/>
          <c:order val="0"/>
          <c:tx>
            <c:strRef>
              <c:f>'Sentiment by Dealership'!$B$4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059669"/>
            </a:solidFill>
            <a:ln>
              <a:solidFill>
                <a:srgbClr val="059669"/>
              </a:solidFill>
              <a:prstDash val="solid"/>
            </a:ln>
          </c:spPr>
          <c:invertIfNegative val="1"/>
          <c:cat>
            <c:strRef>
              <c:f>'Sentiment by Dealership'!$A$5:$A$28</c:f>
              <c:strCache>
                <c:ptCount val="24"/>
                <c:pt idx="0">
                  <c:v>Dandenong</c:v>
                </c:pt>
                <c:pt idx="1">
                  <c:v>Parramatta</c:v>
                </c:pt>
                <c:pt idx="2">
                  <c:v>Rockhampton</c:v>
                </c:pt>
                <c:pt idx="3">
                  <c:v>Essendon</c:v>
                </c:pt>
                <c:pt idx="4">
                  <c:v>Townsville</c:v>
                </c:pt>
                <c:pt idx="5">
                  <c:v>Chatswood</c:v>
                </c:pt>
                <c:pt idx="6">
                  <c:v>Southport</c:v>
                </c:pt>
                <c:pt idx="7">
                  <c:v>Chermside</c:v>
                </c:pt>
                <c:pt idx="8">
                  <c:v>Geelong</c:v>
                </c:pt>
                <c:pt idx="9">
                  <c:v>Ipswich</c:v>
                </c:pt>
                <c:pt idx="10">
                  <c:v>Frankston</c:v>
                </c:pt>
                <c:pt idx="11">
                  <c:v>Toowoomba</c:v>
                </c:pt>
                <c:pt idx="12">
                  <c:v>Newcastle</c:v>
                </c:pt>
                <c:pt idx="13">
                  <c:v>Box Hill</c:v>
                </c:pt>
                <c:pt idx="14">
                  <c:v>Ballarat</c:v>
                </c:pt>
                <c:pt idx="15">
                  <c:v>Ringwood</c:v>
                </c:pt>
                <c:pt idx="16">
                  <c:v>Penrith</c:v>
                </c:pt>
                <c:pt idx="17">
                  <c:v>Bendigo</c:v>
                </c:pt>
                <c:pt idx="18">
                  <c:v>Tamworth</c:v>
                </c:pt>
                <c:pt idx="19">
                  <c:v>Liverpool</c:v>
                </c:pt>
                <c:pt idx="20">
                  <c:v>Wollongong</c:v>
                </c:pt>
                <c:pt idx="21">
                  <c:v>Shepparton</c:v>
                </c:pt>
                <c:pt idx="22">
                  <c:v>Springwood</c:v>
                </c:pt>
                <c:pt idx="23">
                  <c:v>Noosa</c:v>
                </c:pt>
              </c:strCache>
            </c:strRef>
          </c:cat>
          <c:val>
            <c:numRef>
              <c:f>'Sentiment by Dealership'!$B$5:$B$28</c:f>
              <c:numCache>
                <c:formatCode>General</c:formatCode>
                <c:ptCount val="24"/>
                <c:pt idx="0">
                  <c:v>183</c:v>
                </c:pt>
                <c:pt idx="1">
                  <c:v>181</c:v>
                </c:pt>
                <c:pt idx="2">
                  <c:v>69</c:v>
                </c:pt>
                <c:pt idx="3">
                  <c:v>136</c:v>
                </c:pt>
                <c:pt idx="4">
                  <c:v>133</c:v>
                </c:pt>
                <c:pt idx="5">
                  <c:v>122</c:v>
                </c:pt>
                <c:pt idx="6">
                  <c:v>102</c:v>
                </c:pt>
                <c:pt idx="7">
                  <c:v>179</c:v>
                </c:pt>
                <c:pt idx="8">
                  <c:v>119</c:v>
                </c:pt>
                <c:pt idx="9">
                  <c:v>120</c:v>
                </c:pt>
                <c:pt idx="10">
                  <c:v>132</c:v>
                </c:pt>
                <c:pt idx="11">
                  <c:v>99</c:v>
                </c:pt>
                <c:pt idx="12">
                  <c:v>125</c:v>
                </c:pt>
                <c:pt idx="13">
                  <c:v>137</c:v>
                </c:pt>
                <c:pt idx="14">
                  <c:v>126</c:v>
                </c:pt>
                <c:pt idx="15">
                  <c:v>191</c:v>
                </c:pt>
                <c:pt idx="16">
                  <c:v>206</c:v>
                </c:pt>
                <c:pt idx="17">
                  <c:v>59</c:v>
                </c:pt>
                <c:pt idx="18">
                  <c:v>59</c:v>
                </c:pt>
                <c:pt idx="19">
                  <c:v>143</c:v>
                </c:pt>
                <c:pt idx="20">
                  <c:v>132</c:v>
                </c:pt>
                <c:pt idx="21">
                  <c:v>23</c:v>
                </c:pt>
                <c:pt idx="22">
                  <c:v>150</c:v>
                </c:pt>
                <c:pt idx="23">
                  <c:v>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5966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AA-4B6F-9F87-A39E6CCA5018}"/>
            </c:ext>
          </c:extLst>
        </c:ser>
        <c:ser>
          <c:idx val="1"/>
          <c:order val="1"/>
          <c:tx>
            <c:strRef>
              <c:f>'Sentiment by Dealership'!$C$4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9CA3AF"/>
            </a:solidFill>
            <a:ln>
              <a:solidFill>
                <a:srgbClr val="9CA3AF"/>
              </a:solidFill>
              <a:prstDash val="solid"/>
            </a:ln>
          </c:spPr>
          <c:invertIfNegative val="1"/>
          <c:cat>
            <c:strRef>
              <c:f>'Sentiment by Dealership'!$A$5:$A$28</c:f>
              <c:strCache>
                <c:ptCount val="24"/>
                <c:pt idx="0">
                  <c:v>Dandenong</c:v>
                </c:pt>
                <c:pt idx="1">
                  <c:v>Parramatta</c:v>
                </c:pt>
                <c:pt idx="2">
                  <c:v>Rockhampton</c:v>
                </c:pt>
                <c:pt idx="3">
                  <c:v>Essendon</c:v>
                </c:pt>
                <c:pt idx="4">
                  <c:v>Townsville</c:v>
                </c:pt>
                <c:pt idx="5">
                  <c:v>Chatswood</c:v>
                </c:pt>
                <c:pt idx="6">
                  <c:v>Southport</c:v>
                </c:pt>
                <c:pt idx="7">
                  <c:v>Chermside</c:v>
                </c:pt>
                <c:pt idx="8">
                  <c:v>Geelong</c:v>
                </c:pt>
                <c:pt idx="9">
                  <c:v>Ipswich</c:v>
                </c:pt>
                <c:pt idx="10">
                  <c:v>Frankston</c:v>
                </c:pt>
                <c:pt idx="11">
                  <c:v>Toowoomba</c:v>
                </c:pt>
                <c:pt idx="12">
                  <c:v>Newcastle</c:v>
                </c:pt>
                <c:pt idx="13">
                  <c:v>Box Hill</c:v>
                </c:pt>
                <c:pt idx="14">
                  <c:v>Ballarat</c:v>
                </c:pt>
                <c:pt idx="15">
                  <c:v>Ringwood</c:v>
                </c:pt>
                <c:pt idx="16">
                  <c:v>Penrith</c:v>
                </c:pt>
                <c:pt idx="17">
                  <c:v>Bendigo</c:v>
                </c:pt>
                <c:pt idx="18">
                  <c:v>Tamworth</c:v>
                </c:pt>
                <c:pt idx="19">
                  <c:v>Liverpool</c:v>
                </c:pt>
                <c:pt idx="20">
                  <c:v>Wollongong</c:v>
                </c:pt>
                <c:pt idx="21">
                  <c:v>Shepparton</c:v>
                </c:pt>
                <c:pt idx="22">
                  <c:v>Springwood</c:v>
                </c:pt>
                <c:pt idx="23">
                  <c:v>Noosa</c:v>
                </c:pt>
              </c:strCache>
            </c:strRef>
          </c:cat>
          <c:val>
            <c:numRef>
              <c:f>'Sentiment by Dealership'!$C$5:$C$28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CA3A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AA-4B6F-9F87-A39E6CCA5018}"/>
            </c:ext>
          </c:extLst>
        </c:ser>
        <c:ser>
          <c:idx val="2"/>
          <c:order val="2"/>
          <c:tx>
            <c:strRef>
              <c:f>'Sentiment by Dealership'!$D$4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D97706"/>
            </a:solidFill>
            <a:ln>
              <a:solidFill>
                <a:srgbClr val="D97706"/>
              </a:solidFill>
              <a:prstDash val="solid"/>
            </a:ln>
          </c:spPr>
          <c:invertIfNegative val="1"/>
          <c:cat>
            <c:strRef>
              <c:f>'Sentiment by Dealership'!$A$5:$A$28</c:f>
              <c:strCache>
                <c:ptCount val="24"/>
                <c:pt idx="0">
                  <c:v>Dandenong</c:v>
                </c:pt>
                <c:pt idx="1">
                  <c:v>Parramatta</c:v>
                </c:pt>
                <c:pt idx="2">
                  <c:v>Rockhampton</c:v>
                </c:pt>
                <c:pt idx="3">
                  <c:v>Essendon</c:v>
                </c:pt>
                <c:pt idx="4">
                  <c:v>Townsville</c:v>
                </c:pt>
                <c:pt idx="5">
                  <c:v>Chatswood</c:v>
                </c:pt>
                <c:pt idx="6">
                  <c:v>Southport</c:v>
                </c:pt>
                <c:pt idx="7">
                  <c:v>Chermside</c:v>
                </c:pt>
                <c:pt idx="8">
                  <c:v>Geelong</c:v>
                </c:pt>
                <c:pt idx="9">
                  <c:v>Ipswich</c:v>
                </c:pt>
                <c:pt idx="10">
                  <c:v>Frankston</c:v>
                </c:pt>
                <c:pt idx="11">
                  <c:v>Toowoomba</c:v>
                </c:pt>
                <c:pt idx="12">
                  <c:v>Newcastle</c:v>
                </c:pt>
                <c:pt idx="13">
                  <c:v>Box Hill</c:v>
                </c:pt>
                <c:pt idx="14">
                  <c:v>Ballarat</c:v>
                </c:pt>
                <c:pt idx="15">
                  <c:v>Ringwood</c:v>
                </c:pt>
                <c:pt idx="16">
                  <c:v>Penrith</c:v>
                </c:pt>
                <c:pt idx="17">
                  <c:v>Bendigo</c:v>
                </c:pt>
                <c:pt idx="18">
                  <c:v>Tamworth</c:v>
                </c:pt>
                <c:pt idx="19">
                  <c:v>Liverpool</c:v>
                </c:pt>
                <c:pt idx="20">
                  <c:v>Wollongong</c:v>
                </c:pt>
                <c:pt idx="21">
                  <c:v>Shepparton</c:v>
                </c:pt>
                <c:pt idx="22">
                  <c:v>Springwood</c:v>
                </c:pt>
                <c:pt idx="23">
                  <c:v>Noosa</c:v>
                </c:pt>
              </c:strCache>
            </c:strRef>
          </c:cat>
          <c:val>
            <c:numRef>
              <c:f>'Sentiment by Dealership'!$D$5:$D$28</c:f>
              <c:numCache>
                <c:formatCode>General</c:formatCode>
                <c:ptCount val="24"/>
                <c:pt idx="0">
                  <c:v>40</c:v>
                </c:pt>
                <c:pt idx="1">
                  <c:v>36</c:v>
                </c:pt>
                <c:pt idx="2">
                  <c:v>25</c:v>
                </c:pt>
                <c:pt idx="3">
                  <c:v>30</c:v>
                </c:pt>
                <c:pt idx="4">
                  <c:v>34</c:v>
                </c:pt>
                <c:pt idx="5">
                  <c:v>23</c:v>
                </c:pt>
                <c:pt idx="6">
                  <c:v>27</c:v>
                </c:pt>
                <c:pt idx="7">
                  <c:v>52</c:v>
                </c:pt>
                <c:pt idx="8">
                  <c:v>34</c:v>
                </c:pt>
                <c:pt idx="9">
                  <c:v>16</c:v>
                </c:pt>
                <c:pt idx="10">
                  <c:v>24</c:v>
                </c:pt>
                <c:pt idx="11">
                  <c:v>27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38</c:v>
                </c:pt>
                <c:pt idx="16">
                  <c:v>26</c:v>
                </c:pt>
                <c:pt idx="17">
                  <c:v>13</c:v>
                </c:pt>
                <c:pt idx="18">
                  <c:v>13</c:v>
                </c:pt>
                <c:pt idx="19">
                  <c:v>25</c:v>
                </c:pt>
                <c:pt idx="20">
                  <c:v>23</c:v>
                </c:pt>
                <c:pt idx="21">
                  <c:v>3</c:v>
                </c:pt>
                <c:pt idx="22">
                  <c:v>22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9770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AA-4B6F-9F87-A39E6CCA5018}"/>
            </c:ext>
          </c:extLst>
        </c:ser>
        <c:ser>
          <c:idx val="3"/>
          <c:order val="3"/>
          <c:tx>
            <c:strRef>
              <c:f>'Sentiment by Dealership'!$E$4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DC2626"/>
            </a:solidFill>
            <a:ln>
              <a:solidFill>
                <a:srgbClr val="DC2626"/>
              </a:solidFill>
              <a:prstDash val="solid"/>
            </a:ln>
          </c:spPr>
          <c:invertIfNegative val="1"/>
          <c:cat>
            <c:strRef>
              <c:f>'Sentiment by Dealership'!$A$5:$A$28</c:f>
              <c:strCache>
                <c:ptCount val="24"/>
                <c:pt idx="0">
                  <c:v>Dandenong</c:v>
                </c:pt>
                <c:pt idx="1">
                  <c:v>Parramatta</c:v>
                </c:pt>
                <c:pt idx="2">
                  <c:v>Rockhampton</c:v>
                </c:pt>
                <c:pt idx="3">
                  <c:v>Essendon</c:v>
                </c:pt>
                <c:pt idx="4">
                  <c:v>Townsville</c:v>
                </c:pt>
                <c:pt idx="5">
                  <c:v>Chatswood</c:v>
                </c:pt>
                <c:pt idx="6">
                  <c:v>Southport</c:v>
                </c:pt>
                <c:pt idx="7">
                  <c:v>Chermside</c:v>
                </c:pt>
                <c:pt idx="8">
                  <c:v>Geelong</c:v>
                </c:pt>
                <c:pt idx="9">
                  <c:v>Ipswich</c:v>
                </c:pt>
                <c:pt idx="10">
                  <c:v>Frankston</c:v>
                </c:pt>
                <c:pt idx="11">
                  <c:v>Toowoomba</c:v>
                </c:pt>
                <c:pt idx="12">
                  <c:v>Newcastle</c:v>
                </c:pt>
                <c:pt idx="13">
                  <c:v>Box Hill</c:v>
                </c:pt>
                <c:pt idx="14">
                  <c:v>Ballarat</c:v>
                </c:pt>
                <c:pt idx="15">
                  <c:v>Ringwood</c:v>
                </c:pt>
                <c:pt idx="16">
                  <c:v>Penrith</c:v>
                </c:pt>
                <c:pt idx="17">
                  <c:v>Bendigo</c:v>
                </c:pt>
                <c:pt idx="18">
                  <c:v>Tamworth</c:v>
                </c:pt>
                <c:pt idx="19">
                  <c:v>Liverpool</c:v>
                </c:pt>
                <c:pt idx="20">
                  <c:v>Wollongong</c:v>
                </c:pt>
                <c:pt idx="21">
                  <c:v>Shepparton</c:v>
                </c:pt>
                <c:pt idx="22">
                  <c:v>Springwood</c:v>
                </c:pt>
                <c:pt idx="23">
                  <c:v>Noosa</c:v>
                </c:pt>
              </c:strCache>
            </c:strRef>
          </c:cat>
          <c:val>
            <c:numRef>
              <c:f>'Sentiment by Dealership'!$E$5:$E$28</c:f>
              <c:numCache>
                <c:formatCode>General</c:formatCode>
                <c:ptCount val="24"/>
                <c:pt idx="0">
                  <c:v>148</c:v>
                </c:pt>
                <c:pt idx="1">
                  <c:v>142</c:v>
                </c:pt>
                <c:pt idx="2">
                  <c:v>61</c:v>
                </c:pt>
                <c:pt idx="3">
                  <c:v>102</c:v>
                </c:pt>
                <c:pt idx="4">
                  <c:v>94</c:v>
                </c:pt>
                <c:pt idx="5">
                  <c:v>76</c:v>
                </c:pt>
                <c:pt idx="6">
                  <c:v>68</c:v>
                </c:pt>
                <c:pt idx="7">
                  <c:v>119</c:v>
                </c:pt>
                <c:pt idx="8">
                  <c:v>78</c:v>
                </c:pt>
                <c:pt idx="9">
                  <c:v>68</c:v>
                </c:pt>
                <c:pt idx="10">
                  <c:v>77</c:v>
                </c:pt>
                <c:pt idx="11">
                  <c:v>62</c:v>
                </c:pt>
                <c:pt idx="12">
                  <c:v>73</c:v>
                </c:pt>
                <c:pt idx="13">
                  <c:v>77</c:v>
                </c:pt>
                <c:pt idx="14">
                  <c:v>71</c:v>
                </c:pt>
                <c:pt idx="15">
                  <c:v>103</c:v>
                </c:pt>
                <c:pt idx="16">
                  <c:v>103</c:v>
                </c:pt>
                <c:pt idx="17">
                  <c:v>31</c:v>
                </c:pt>
                <c:pt idx="18">
                  <c:v>30</c:v>
                </c:pt>
                <c:pt idx="19">
                  <c:v>68</c:v>
                </c:pt>
                <c:pt idx="20">
                  <c:v>62</c:v>
                </c:pt>
                <c:pt idx="21">
                  <c:v>10</c:v>
                </c:pt>
                <c:pt idx="22">
                  <c:v>54</c:v>
                </c:pt>
                <c:pt idx="2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C262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AA-4B6F-9F87-A39E6CCA5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Reviews</a:t>
                </a:r>
              </a:p>
            </c:rich>
          </c:tx>
          <c:layout>
            <c:manualLayout>
              <c:xMode val="edge"/>
              <c:yMode val="edge"/>
              <c:x val="1.454890873015873E-2"/>
              <c:y val="0.31917994695435631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Dealership</a:t>
                </a:r>
              </a:p>
            </c:rich>
          </c:tx>
          <c:layout>
            <c:manualLayout>
              <c:xMode val="edge"/>
              <c:yMode val="edge"/>
              <c:x val="0.45413888888888887"/>
              <c:y val="0.9294968468083411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Issue Trends by Theme</a:t>
            </a:r>
          </a:p>
        </c:rich>
      </c:tx>
      <c:layout>
        <c:manualLayout>
          <c:xMode val="edge"/>
          <c:yMode val="edge"/>
          <c:x val="0.30950709777136565"/>
          <c:y val="2.401372374858009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0835462134239186E-2"/>
          <c:y val="8.8420486111111113E-2"/>
          <c:w val="0.67473797427969295"/>
          <c:h val="0.71852843144530942"/>
        </c:manualLayout>
      </c:layout>
      <c:lineChart>
        <c:grouping val="standard"/>
        <c:varyColors val="1"/>
        <c:ser>
          <c:idx val="0"/>
          <c:order val="0"/>
          <c:tx>
            <c:strRef>
              <c:f>'Theme Trends'!$B$4</c:f>
              <c:strCache>
                <c:ptCount val="1"/>
                <c:pt idx="0">
                  <c:v>Communication &amp; Updates</c:v>
                </c:pt>
              </c:strCache>
            </c:strRef>
          </c:tx>
          <c:spPr>
            <a:ln w="2200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Trends'!$B$5:$B$19</c:f>
              <c:numCache>
                <c:formatCode>General</c:formatCode>
                <c:ptCount val="15"/>
                <c:pt idx="0">
                  <c:v>122</c:v>
                </c:pt>
                <c:pt idx="1">
                  <c:v>101</c:v>
                </c:pt>
                <c:pt idx="2">
                  <c:v>102</c:v>
                </c:pt>
                <c:pt idx="3">
                  <c:v>111</c:v>
                </c:pt>
                <c:pt idx="4">
                  <c:v>110</c:v>
                </c:pt>
                <c:pt idx="5">
                  <c:v>139</c:v>
                </c:pt>
                <c:pt idx="6">
                  <c:v>118</c:v>
                </c:pt>
                <c:pt idx="7">
                  <c:v>119</c:v>
                </c:pt>
                <c:pt idx="8">
                  <c:v>103</c:v>
                </c:pt>
                <c:pt idx="9">
                  <c:v>121</c:v>
                </c:pt>
                <c:pt idx="10">
                  <c:v>124</c:v>
                </c:pt>
                <c:pt idx="11">
                  <c:v>106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F-4537-8D6B-41C1E6A695E1}"/>
            </c:ext>
          </c:extLst>
        </c:ser>
        <c:ser>
          <c:idx val="1"/>
          <c:order val="1"/>
          <c:tx>
            <c:strRef>
              <c:f>'Theme Trends'!$C$4</c:f>
              <c:strCache>
                <c:ptCount val="1"/>
                <c:pt idx="0">
                  <c:v>Parts Availability &amp; Delays</c:v>
                </c:pt>
              </c:strCache>
            </c:strRef>
          </c:tx>
          <c:spPr>
            <a:ln w="22000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Trends'!$C$5:$C$19</c:f>
              <c:numCache>
                <c:formatCode>General</c:formatCode>
                <c:ptCount val="15"/>
                <c:pt idx="0">
                  <c:v>21</c:v>
                </c:pt>
                <c:pt idx="1">
                  <c:v>7</c:v>
                </c:pt>
                <c:pt idx="2">
                  <c:v>16</c:v>
                </c:pt>
                <c:pt idx="3">
                  <c:v>15</c:v>
                </c:pt>
                <c:pt idx="4">
                  <c:v>18</c:v>
                </c:pt>
                <c:pt idx="5">
                  <c:v>10</c:v>
                </c:pt>
                <c:pt idx="6">
                  <c:v>64</c:v>
                </c:pt>
                <c:pt idx="7">
                  <c:v>60</c:v>
                </c:pt>
                <c:pt idx="8">
                  <c:v>69</c:v>
                </c:pt>
                <c:pt idx="9">
                  <c:v>17</c:v>
                </c:pt>
                <c:pt idx="10">
                  <c:v>21</c:v>
                </c:pt>
                <c:pt idx="11">
                  <c:v>16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F-4537-8D6B-41C1E6A695E1}"/>
            </c:ext>
          </c:extLst>
        </c:ser>
        <c:ser>
          <c:idx val="2"/>
          <c:order val="2"/>
          <c:tx>
            <c:strRef>
              <c:f>'Theme Trends'!$D$4</c:f>
              <c:strCache>
                <c:ptCount val="1"/>
                <c:pt idx="0">
                  <c:v>Positive Experience (General)</c:v>
                </c:pt>
              </c:strCache>
            </c:strRef>
          </c:tx>
          <c:spPr>
            <a:ln w="2200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Trends'!$D$5:$D$19</c:f>
              <c:numCache>
                <c:formatCode>General</c:formatCode>
                <c:ptCount val="15"/>
                <c:pt idx="0">
                  <c:v>27</c:v>
                </c:pt>
                <c:pt idx="1">
                  <c:v>20</c:v>
                </c:pt>
                <c:pt idx="2">
                  <c:v>27</c:v>
                </c:pt>
                <c:pt idx="3">
                  <c:v>23</c:v>
                </c:pt>
                <c:pt idx="4">
                  <c:v>32</c:v>
                </c:pt>
                <c:pt idx="5">
                  <c:v>27</c:v>
                </c:pt>
                <c:pt idx="6">
                  <c:v>33</c:v>
                </c:pt>
                <c:pt idx="7">
                  <c:v>28</c:v>
                </c:pt>
                <c:pt idx="8">
                  <c:v>36</c:v>
                </c:pt>
                <c:pt idx="9">
                  <c:v>25</c:v>
                </c:pt>
                <c:pt idx="10">
                  <c:v>29</c:v>
                </c:pt>
                <c:pt idx="11">
                  <c:v>30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2F-4537-8D6B-41C1E6A695E1}"/>
            </c:ext>
          </c:extLst>
        </c:ser>
        <c:ser>
          <c:idx val="3"/>
          <c:order val="3"/>
          <c:tx>
            <c:strRef>
              <c:f>'Theme Trends'!$E$4</c:f>
              <c:strCache>
                <c:ptCount val="1"/>
                <c:pt idx="0">
                  <c:v>Pricing &amp; Charges</c:v>
                </c:pt>
              </c:strCache>
            </c:strRef>
          </c:tx>
          <c:spPr>
            <a:ln w="22000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Trends'!$E$5:$E$19</c:f>
              <c:numCache>
                <c:formatCode>General</c:formatCode>
                <c:ptCount val="15"/>
                <c:pt idx="0">
                  <c:v>58</c:v>
                </c:pt>
                <c:pt idx="1">
                  <c:v>66</c:v>
                </c:pt>
                <c:pt idx="2">
                  <c:v>48</c:v>
                </c:pt>
                <c:pt idx="3">
                  <c:v>49</c:v>
                </c:pt>
                <c:pt idx="4">
                  <c:v>63</c:v>
                </c:pt>
                <c:pt idx="5">
                  <c:v>61</c:v>
                </c:pt>
                <c:pt idx="6">
                  <c:v>71</c:v>
                </c:pt>
                <c:pt idx="7">
                  <c:v>62</c:v>
                </c:pt>
                <c:pt idx="8">
                  <c:v>61</c:v>
                </c:pt>
                <c:pt idx="9">
                  <c:v>64</c:v>
                </c:pt>
                <c:pt idx="10">
                  <c:v>78</c:v>
                </c:pt>
                <c:pt idx="11">
                  <c:v>75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2F-4537-8D6B-41C1E6A695E1}"/>
            </c:ext>
          </c:extLst>
        </c:ser>
        <c:ser>
          <c:idx val="4"/>
          <c:order val="4"/>
          <c:tx>
            <c:strRef>
              <c:f>'Theme Trends'!$F$4</c:f>
              <c:strCache>
                <c:ptCount val="1"/>
                <c:pt idx="0">
                  <c:v>Repair &amp; Service Quality</c:v>
                </c:pt>
              </c:strCache>
            </c:strRef>
          </c:tx>
          <c:spPr>
            <a:ln w="2200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Trends'!$F$5:$F$19</c:f>
              <c:numCache>
                <c:formatCode>General</c:formatCode>
                <c:ptCount val="15"/>
                <c:pt idx="0">
                  <c:v>28</c:v>
                </c:pt>
                <c:pt idx="1">
                  <c:v>28</c:v>
                </c:pt>
                <c:pt idx="2">
                  <c:v>29</c:v>
                </c:pt>
                <c:pt idx="3">
                  <c:v>32</c:v>
                </c:pt>
                <c:pt idx="4">
                  <c:v>35</c:v>
                </c:pt>
                <c:pt idx="5">
                  <c:v>41</c:v>
                </c:pt>
                <c:pt idx="6">
                  <c:v>22</c:v>
                </c:pt>
                <c:pt idx="7">
                  <c:v>40</c:v>
                </c:pt>
                <c:pt idx="8">
                  <c:v>25</c:v>
                </c:pt>
                <c:pt idx="9">
                  <c:v>28</c:v>
                </c:pt>
                <c:pt idx="10">
                  <c:v>37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2F-4537-8D6B-41C1E6A695E1}"/>
            </c:ext>
          </c:extLst>
        </c:ser>
        <c:ser>
          <c:idx val="5"/>
          <c:order val="5"/>
          <c:tx>
            <c:strRef>
              <c:f>'Theme Trends'!$G$4</c:f>
              <c:strCache>
                <c:ptCount val="1"/>
                <c:pt idx="0">
                  <c:v>Staff Attitude &amp; Behaviour</c:v>
                </c:pt>
              </c:strCache>
            </c:strRef>
          </c:tx>
          <c:spPr>
            <a:ln w="22000">
              <a:solidFill>
                <a:srgbClr val="DB2777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Trends'!$G$5:$G$19</c:f>
              <c:numCache>
                <c:formatCode>General</c:formatCode>
                <c:ptCount val="15"/>
                <c:pt idx="0">
                  <c:v>107</c:v>
                </c:pt>
                <c:pt idx="1">
                  <c:v>102</c:v>
                </c:pt>
                <c:pt idx="2">
                  <c:v>98</c:v>
                </c:pt>
                <c:pt idx="3">
                  <c:v>84</c:v>
                </c:pt>
                <c:pt idx="4">
                  <c:v>87</c:v>
                </c:pt>
                <c:pt idx="5">
                  <c:v>118</c:v>
                </c:pt>
                <c:pt idx="6">
                  <c:v>107</c:v>
                </c:pt>
                <c:pt idx="7">
                  <c:v>122</c:v>
                </c:pt>
                <c:pt idx="8">
                  <c:v>99</c:v>
                </c:pt>
                <c:pt idx="9">
                  <c:v>110</c:v>
                </c:pt>
                <c:pt idx="10">
                  <c:v>114</c:v>
                </c:pt>
                <c:pt idx="11">
                  <c:v>118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2F-4537-8D6B-41C1E6A695E1}"/>
            </c:ext>
          </c:extLst>
        </c:ser>
        <c:ser>
          <c:idx val="6"/>
          <c:order val="6"/>
          <c:tx>
            <c:strRef>
              <c:f>'Theme Trends'!$H$4</c:f>
              <c:strCache>
                <c:ptCount val="1"/>
                <c:pt idx="0">
                  <c:v>Timeliness &amp; Wait Times</c:v>
                </c:pt>
              </c:strCache>
            </c:strRef>
          </c:tx>
          <c:spPr>
            <a:ln w="22000">
              <a:solidFill>
                <a:srgbClr val="0891B2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Trends'!$H$5:$H$19</c:f>
              <c:numCache>
                <c:formatCode>General</c:formatCode>
                <c:ptCount val="15"/>
                <c:pt idx="0">
                  <c:v>82</c:v>
                </c:pt>
                <c:pt idx="1">
                  <c:v>83</c:v>
                </c:pt>
                <c:pt idx="2">
                  <c:v>77</c:v>
                </c:pt>
                <c:pt idx="3">
                  <c:v>90</c:v>
                </c:pt>
                <c:pt idx="4">
                  <c:v>84</c:v>
                </c:pt>
                <c:pt idx="5">
                  <c:v>84</c:v>
                </c:pt>
                <c:pt idx="6">
                  <c:v>87</c:v>
                </c:pt>
                <c:pt idx="7">
                  <c:v>76</c:v>
                </c:pt>
                <c:pt idx="8">
                  <c:v>86</c:v>
                </c:pt>
                <c:pt idx="9">
                  <c:v>89</c:v>
                </c:pt>
                <c:pt idx="10">
                  <c:v>87</c:v>
                </c:pt>
                <c:pt idx="11">
                  <c:v>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2F-4537-8D6B-41C1E6A695E1}"/>
            </c:ext>
          </c:extLst>
        </c:ser>
        <c:ser>
          <c:idx val="7"/>
          <c:order val="7"/>
          <c:tx>
            <c:strRef>
              <c:f>'Theme Trends'!$I$4</c:f>
              <c:strCache>
                <c:ptCount val="1"/>
                <c:pt idx="0">
                  <c:v>Vehicle Knowledge &amp; Explanation</c:v>
                </c:pt>
              </c:strCache>
            </c:strRef>
          </c:tx>
          <c:spPr>
            <a:ln w="22000">
              <a:solidFill>
                <a:srgbClr val="CA8A04"/>
              </a:solidFill>
              <a:prstDash val="solid"/>
            </a:ln>
          </c:spPr>
          <c:marker>
            <c:symbol val="none"/>
          </c:marker>
          <c:cat>
            <c:strRef>
              <c:f>'Theme Trends'!$A$5:$A$19</c:f>
              <c:strCache>
                <c:ptCount val="1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</c:strCache>
            </c:strRef>
          </c:cat>
          <c:val>
            <c:numRef>
              <c:f>'Theme Trends'!$I$5:$I$19</c:f>
              <c:numCache>
                <c:formatCode>General</c:formatCode>
                <c:ptCount val="15"/>
                <c:pt idx="0">
                  <c:v>61</c:v>
                </c:pt>
                <c:pt idx="1">
                  <c:v>56</c:v>
                </c:pt>
                <c:pt idx="2">
                  <c:v>54</c:v>
                </c:pt>
                <c:pt idx="3">
                  <c:v>50</c:v>
                </c:pt>
                <c:pt idx="4">
                  <c:v>59</c:v>
                </c:pt>
                <c:pt idx="5">
                  <c:v>56</c:v>
                </c:pt>
                <c:pt idx="6">
                  <c:v>55</c:v>
                </c:pt>
                <c:pt idx="7">
                  <c:v>56</c:v>
                </c:pt>
                <c:pt idx="8">
                  <c:v>72</c:v>
                </c:pt>
                <c:pt idx="9">
                  <c:v>78</c:v>
                </c:pt>
                <c:pt idx="10">
                  <c:v>66</c:v>
                </c:pt>
                <c:pt idx="11">
                  <c:v>82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2F-4537-8D6B-41C1E6A69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38552886668833097"/>
              <c:y val="0.9365352261946237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txPr>
          <a:bodyPr rot="-2700000"/>
          <a:lstStyle/>
          <a:p>
            <a:pPr>
              <a:defRPr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Issue Count</a:t>
                </a:r>
              </a:p>
            </c:rich>
          </c:tx>
          <c:layout>
            <c:manualLayout>
              <c:xMode val="edge"/>
              <c:yMode val="edge"/>
              <c:x val="2.3859126984126983E-2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Issue Severity by Department</a:t>
            </a:r>
          </a:p>
        </c:rich>
      </c:tx>
      <c:layout>
        <c:manualLayout>
          <c:xMode val="edge"/>
          <c:yMode val="edge"/>
          <c:x val="0.36768825757575752"/>
          <c:y val="3.02380952380952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280416666666668"/>
          <c:y val="0.10609166666666667"/>
          <c:w val="0.73051654040404035"/>
          <c:h val="0.77030595238095234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'Severity Analysis'!$B$4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9CA3AF"/>
            </a:solidFill>
            <a:ln>
              <a:solidFill>
                <a:srgbClr val="9CA3AF"/>
              </a:solidFill>
              <a:prstDash val="solid"/>
            </a:ln>
          </c:spPr>
          <c:invertIfNegative val="1"/>
          <c:cat>
            <c:strRef>
              <c:f>'Severity Analysis'!$A$5:$A$8</c:f>
              <c:strCache>
                <c:ptCount val="4"/>
                <c:pt idx="0">
                  <c:v>Parts</c:v>
                </c:pt>
                <c:pt idx="1">
                  <c:v>Sales</c:v>
                </c:pt>
                <c:pt idx="2">
                  <c:v>Service</c:v>
                </c:pt>
                <c:pt idx="3">
                  <c:v>Unknown</c:v>
                </c:pt>
              </c:strCache>
            </c:strRef>
          </c:cat>
          <c:val>
            <c:numRef>
              <c:f>'Severity Analysis'!$B$5:$B$8</c:f>
              <c:numCache>
                <c:formatCode>General</c:formatCode>
                <c:ptCount val="4"/>
                <c:pt idx="0">
                  <c:v>392</c:v>
                </c:pt>
                <c:pt idx="1">
                  <c:v>957</c:v>
                </c:pt>
                <c:pt idx="2">
                  <c:v>2600</c:v>
                </c:pt>
                <c:pt idx="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CA3A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04-432F-8234-0311D8F59793}"/>
            </c:ext>
          </c:extLst>
        </c:ser>
        <c:ser>
          <c:idx val="1"/>
          <c:order val="1"/>
          <c:tx>
            <c:strRef>
              <c:f>'Severity Analysis'!$C$4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rgbClr val="D97706"/>
            </a:solidFill>
            <a:ln>
              <a:solidFill>
                <a:srgbClr val="D97706"/>
              </a:solidFill>
              <a:prstDash val="solid"/>
            </a:ln>
          </c:spPr>
          <c:invertIfNegative val="1"/>
          <c:cat>
            <c:strRef>
              <c:f>'Severity Analysis'!$A$5:$A$8</c:f>
              <c:strCache>
                <c:ptCount val="4"/>
                <c:pt idx="0">
                  <c:v>Parts</c:v>
                </c:pt>
                <c:pt idx="1">
                  <c:v>Sales</c:v>
                </c:pt>
                <c:pt idx="2">
                  <c:v>Service</c:v>
                </c:pt>
                <c:pt idx="3">
                  <c:v>Unknown</c:v>
                </c:pt>
              </c:strCache>
            </c:strRef>
          </c:cat>
          <c:val>
            <c:numRef>
              <c:f>'Severity Analysis'!$C$5:$C$8</c:f>
              <c:numCache>
                <c:formatCode>General</c:formatCode>
                <c:ptCount val="4"/>
                <c:pt idx="0">
                  <c:v>178</c:v>
                </c:pt>
                <c:pt idx="1">
                  <c:v>185</c:v>
                </c:pt>
                <c:pt idx="2">
                  <c:v>1318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9770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C04-432F-8234-0311D8F59793}"/>
            </c:ext>
          </c:extLst>
        </c:ser>
        <c:ser>
          <c:idx val="2"/>
          <c:order val="2"/>
          <c:tx>
            <c:strRef>
              <c:f>'Severity Analysis'!$D$4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DC2626"/>
            </a:solidFill>
            <a:ln>
              <a:solidFill>
                <a:srgbClr val="DC2626"/>
              </a:solidFill>
              <a:prstDash val="solid"/>
            </a:ln>
          </c:spPr>
          <c:invertIfNegative val="1"/>
          <c:cat>
            <c:strRef>
              <c:f>'Severity Analysis'!$A$5:$A$8</c:f>
              <c:strCache>
                <c:ptCount val="4"/>
                <c:pt idx="0">
                  <c:v>Parts</c:v>
                </c:pt>
                <c:pt idx="1">
                  <c:v>Sales</c:v>
                </c:pt>
                <c:pt idx="2">
                  <c:v>Service</c:v>
                </c:pt>
                <c:pt idx="3">
                  <c:v>Unknown</c:v>
                </c:pt>
              </c:strCache>
            </c:strRef>
          </c:cat>
          <c:val>
            <c:numRef>
              <c:f>'Severity Analysis'!$D$5:$D$8</c:f>
              <c:numCache>
                <c:formatCode>General</c:formatCode>
                <c:ptCount val="4"/>
                <c:pt idx="0">
                  <c:v>72</c:v>
                </c:pt>
                <c:pt idx="1">
                  <c:v>160</c:v>
                </c:pt>
                <c:pt idx="2">
                  <c:v>975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C262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C04-432F-8234-0311D8F59793}"/>
            </c:ext>
          </c:extLst>
        </c:ser>
        <c:ser>
          <c:idx val="3"/>
          <c:order val="3"/>
          <c:tx>
            <c:strRef>
              <c:f>'Severity Analysis'!$E$4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7F1D1D"/>
            </a:solidFill>
            <a:ln>
              <a:solidFill>
                <a:srgbClr val="7F1D1D"/>
              </a:solidFill>
              <a:prstDash val="solid"/>
            </a:ln>
          </c:spPr>
          <c:invertIfNegative val="1"/>
          <c:cat>
            <c:strRef>
              <c:f>'Severity Analysis'!$A$5:$A$8</c:f>
              <c:strCache>
                <c:ptCount val="4"/>
                <c:pt idx="0">
                  <c:v>Parts</c:v>
                </c:pt>
                <c:pt idx="1">
                  <c:v>Sales</c:v>
                </c:pt>
                <c:pt idx="2">
                  <c:v>Service</c:v>
                </c:pt>
                <c:pt idx="3">
                  <c:v>Unknown</c:v>
                </c:pt>
              </c:strCache>
            </c:strRef>
          </c:cat>
          <c:val>
            <c:numRef>
              <c:f>'Severity Analysis'!$E$5:$E$8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148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1D1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C04-432F-8234-0311D8F59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layout>
            <c:manualLayout>
              <c:xMode val="edge"/>
              <c:yMode val="edge"/>
              <c:x val="0.44327159090909091"/>
              <c:y val="0.9399007936507936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Issue Count</a:t>
                </a:r>
              </a:p>
            </c:rich>
          </c:tx>
          <c:layout>
            <c:manualLayout>
              <c:xMode val="edge"/>
              <c:yMode val="edge"/>
              <c:x val="2.7638888888888886E-2"/>
            </c:manualLayout>
          </c:layout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Reviews and % of Negative</a:t>
            </a:r>
            <a:r>
              <a:rPr lang="en-US" b="1" baseline="0"/>
              <a:t> Reviews</a:t>
            </a:r>
            <a:r>
              <a:rPr lang="en-US" b="1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Summary'!$B$4</c:f>
              <c:strCache>
                <c:ptCount val="1"/>
                <c:pt idx="0">
                  <c:v>Total Reviews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Summary'!$A$5:$A$16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'Monthly Summary'!$B$5:$B$16</c:f>
              <c:numCache>
                <c:formatCode>General</c:formatCode>
                <c:ptCount val="12"/>
                <c:pt idx="0">
                  <c:v>583</c:v>
                </c:pt>
                <c:pt idx="1">
                  <c:v>537</c:v>
                </c:pt>
                <c:pt idx="2">
                  <c:v>526</c:v>
                </c:pt>
                <c:pt idx="3">
                  <c:v>518</c:v>
                </c:pt>
                <c:pt idx="4">
                  <c:v>593</c:v>
                </c:pt>
                <c:pt idx="5">
                  <c:v>614</c:v>
                </c:pt>
                <c:pt idx="6">
                  <c:v>601</c:v>
                </c:pt>
                <c:pt idx="7">
                  <c:v>618</c:v>
                </c:pt>
                <c:pt idx="8">
                  <c:v>609</c:v>
                </c:pt>
                <c:pt idx="9">
                  <c:v>606</c:v>
                </c:pt>
                <c:pt idx="10">
                  <c:v>612</c:v>
                </c:pt>
                <c:pt idx="11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0-4909-AFAF-F259106C7D88}"/>
            </c:ext>
          </c:extLst>
        </c:ser>
        <c:ser>
          <c:idx val="1"/>
          <c:order val="1"/>
          <c:tx>
            <c:strRef>
              <c:f>'Monthly Summary'!$C$4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Summary'!$A$5:$A$16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'Monthly Summary'!$C$5:$C$16</c:f>
            </c:numRef>
          </c:val>
          <c:extLst>
            <c:ext xmlns:c16="http://schemas.microsoft.com/office/drawing/2014/chart" uri="{C3380CC4-5D6E-409C-BE32-E72D297353CC}">
              <c16:uniqueId val="{00000001-D980-4909-AFAF-F259106C7D88}"/>
            </c:ext>
          </c:extLst>
        </c:ser>
        <c:ser>
          <c:idx val="2"/>
          <c:order val="2"/>
          <c:tx>
            <c:strRef>
              <c:f>'Monthly Summary'!$D$4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Summary'!$A$5:$A$16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'Monthly Summary'!$D$5:$D$16</c:f>
            </c:numRef>
          </c:val>
          <c:extLst>
            <c:ext xmlns:c16="http://schemas.microsoft.com/office/drawing/2014/chart" uri="{C3380CC4-5D6E-409C-BE32-E72D297353CC}">
              <c16:uniqueId val="{00000002-D980-4909-AFAF-F259106C7D88}"/>
            </c:ext>
          </c:extLst>
        </c:ser>
        <c:ser>
          <c:idx val="3"/>
          <c:order val="3"/>
          <c:tx>
            <c:strRef>
              <c:f>'Monthly Summary'!$E$4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Summary'!$A$5:$A$16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'Monthly Summary'!$E$5:$E$16</c:f>
            </c:numRef>
          </c:val>
          <c:extLst>
            <c:ext xmlns:c16="http://schemas.microsoft.com/office/drawing/2014/chart" uri="{C3380CC4-5D6E-409C-BE32-E72D297353CC}">
              <c16:uniqueId val="{00000003-D980-4909-AFAF-F259106C7D88}"/>
            </c:ext>
          </c:extLst>
        </c:ser>
        <c:ser>
          <c:idx val="4"/>
          <c:order val="4"/>
          <c:tx>
            <c:strRef>
              <c:f>'Monthly Summary'!$F$4</c:f>
              <c:strCache>
                <c:ptCount val="1"/>
                <c:pt idx="0">
                  <c:v>Positive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Summary'!$A$5:$A$16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'Monthly Summary'!$F$5:$F$16</c:f>
            </c:numRef>
          </c:val>
          <c:extLst>
            <c:ext xmlns:c16="http://schemas.microsoft.com/office/drawing/2014/chart" uri="{C3380CC4-5D6E-409C-BE32-E72D297353CC}">
              <c16:uniqueId val="{00000004-D980-4909-AFAF-F259106C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312512"/>
        <c:axId val="563443504"/>
      </c:barChart>
      <c:lineChart>
        <c:grouping val="standard"/>
        <c:varyColors val="0"/>
        <c:ser>
          <c:idx val="5"/>
          <c:order val="5"/>
          <c:tx>
            <c:strRef>
              <c:f>'Monthly Summary'!$G$4</c:f>
              <c:strCache>
                <c:ptCount val="1"/>
                <c:pt idx="0">
                  <c:v>Negative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'Monthly Summary'!$G$5:$G$16</c:f>
              <c:numCache>
                <c:formatCode>0.0%</c:formatCode>
                <c:ptCount val="12"/>
                <c:pt idx="0">
                  <c:v>0.22641509433962259</c:v>
                </c:pt>
                <c:pt idx="1">
                  <c:v>0.21973929236499071</c:v>
                </c:pt>
                <c:pt idx="2">
                  <c:v>0.1939163498098859</c:v>
                </c:pt>
                <c:pt idx="3">
                  <c:v>0.22972972972972969</c:v>
                </c:pt>
                <c:pt idx="4">
                  <c:v>0.2192242833052277</c:v>
                </c:pt>
                <c:pt idx="5">
                  <c:v>0.24592833876221501</c:v>
                </c:pt>
                <c:pt idx="6">
                  <c:v>0.28119800332778699</c:v>
                </c:pt>
                <c:pt idx="7">
                  <c:v>0.26213592233009708</c:v>
                </c:pt>
                <c:pt idx="8">
                  <c:v>0.2988505747126437</c:v>
                </c:pt>
                <c:pt idx="9">
                  <c:v>0.25412541254125409</c:v>
                </c:pt>
                <c:pt idx="10">
                  <c:v>0.30555555555555558</c:v>
                </c:pt>
                <c:pt idx="11">
                  <c:v>0.27597402597402598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80-4909-AFAF-F259106C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311584"/>
        <c:axId val="563444464"/>
      </c:lineChart>
      <c:catAx>
        <c:axId val="10593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43504"/>
        <c:crosses val="autoZero"/>
        <c:auto val="1"/>
        <c:lblAlgn val="ctr"/>
        <c:lblOffset val="100"/>
        <c:noMultiLvlLbl val="0"/>
      </c:catAx>
      <c:valAx>
        <c:axId val="56344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12512"/>
        <c:crosses val="autoZero"/>
        <c:crossBetween val="between"/>
      </c:valAx>
      <c:valAx>
        <c:axId val="56344446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11584"/>
        <c:crosses val="max"/>
        <c:crossBetween val="between"/>
      </c:valAx>
      <c:catAx>
        <c:axId val="1059311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34444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741748</xdr:colOff>
      <xdr:row>19</xdr:row>
      <xdr:rowOff>94066</xdr:rowOff>
    </xdr:from>
    <xdr:ext cx="11130196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154608</xdr:rowOff>
    </xdr:from>
    <xdr:ext cx="10080000" cy="6047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185056</xdr:rowOff>
    </xdr:from>
    <xdr:ext cx="13509170" cy="63463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284702</xdr:colOff>
      <xdr:row>20</xdr:row>
      <xdr:rowOff>106346</xdr:rowOff>
    </xdr:from>
    <xdr:to>
      <xdr:col>11</xdr:col>
      <xdr:colOff>535912</xdr:colOff>
      <xdr:row>45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2AC29-4713-8E97-6834-54EE097BD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F17"/>
  <sheetViews>
    <sheetView topLeftCell="A17" zoomScale="66" workbookViewId="0">
      <selection activeCell="O30" sqref="O30"/>
    </sheetView>
  </sheetViews>
  <sheetFormatPr defaultRowHeight="14.4" x14ac:dyDescent="0.3"/>
  <cols>
    <col min="1" max="1" width="35" customWidth="1"/>
    <col min="2" max="2" width="22" customWidth="1"/>
    <col min="3" max="3" width="20" customWidth="1"/>
    <col min="4" max="5" width="14" customWidth="1"/>
    <col min="6" max="6" width="21" customWidth="1"/>
  </cols>
  <sheetData>
    <row r="1" spans="1:6" ht="17.399999999999999" x14ac:dyDescent="0.3">
      <c r="A1" s="1" t="s">
        <v>0</v>
      </c>
    </row>
    <row r="2" spans="1:6" x14ac:dyDescent="0.3">
      <c r="A2" s="29" t="s">
        <v>1</v>
      </c>
      <c r="B2" s="30"/>
      <c r="C2" s="30"/>
      <c r="D2" s="30"/>
      <c r="E2" s="30"/>
      <c r="F2" s="30"/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4">
        <v>4</v>
      </c>
      <c r="C5" s="4">
        <v>779</v>
      </c>
      <c r="D5" s="4">
        <v>2.27</v>
      </c>
      <c r="E5" s="4">
        <v>855</v>
      </c>
      <c r="F5" s="4">
        <v>255</v>
      </c>
    </row>
    <row r="6" spans="1:6" x14ac:dyDescent="0.3">
      <c r="A6" s="4" t="s">
        <v>9</v>
      </c>
      <c r="B6" s="4">
        <v>4</v>
      </c>
      <c r="C6" s="4">
        <v>409</v>
      </c>
      <c r="D6" s="4">
        <v>2.08</v>
      </c>
      <c r="E6" s="4">
        <v>425</v>
      </c>
      <c r="F6" s="4">
        <v>68</v>
      </c>
    </row>
    <row r="7" spans="1:6" x14ac:dyDescent="0.3">
      <c r="A7" s="4" t="s">
        <v>10</v>
      </c>
      <c r="B7" s="4">
        <v>3</v>
      </c>
      <c r="C7" s="4">
        <v>348</v>
      </c>
      <c r="D7" s="4">
        <v>2.81</v>
      </c>
      <c r="E7" s="4">
        <v>377</v>
      </c>
      <c r="F7" s="4">
        <v>286</v>
      </c>
    </row>
    <row r="8" spans="1:6" x14ac:dyDescent="0.3">
      <c r="A8" s="4" t="s">
        <v>11</v>
      </c>
      <c r="B8" s="4">
        <v>4</v>
      </c>
      <c r="C8" s="4">
        <v>360</v>
      </c>
      <c r="D8" s="4">
        <v>2.69</v>
      </c>
      <c r="E8" s="4">
        <v>367</v>
      </c>
      <c r="F8" s="4">
        <v>252</v>
      </c>
    </row>
    <row r="9" spans="1:6" x14ac:dyDescent="0.3">
      <c r="A9" s="4" t="s">
        <v>12</v>
      </c>
      <c r="B9" s="4">
        <v>3</v>
      </c>
      <c r="C9" s="4">
        <v>275</v>
      </c>
      <c r="D9" s="4">
        <v>2.31</v>
      </c>
      <c r="E9" s="4">
        <v>299</v>
      </c>
      <c r="F9" s="4">
        <v>97</v>
      </c>
    </row>
    <row r="10" spans="1:6" x14ac:dyDescent="0.3">
      <c r="A10" s="4" t="s">
        <v>13</v>
      </c>
      <c r="B10" s="4">
        <v>4</v>
      </c>
      <c r="C10" s="4">
        <v>215</v>
      </c>
      <c r="D10" s="4">
        <v>2.52</v>
      </c>
      <c r="E10" s="4">
        <v>221</v>
      </c>
      <c r="F10" s="4">
        <v>117</v>
      </c>
    </row>
    <row r="11" spans="1:6" x14ac:dyDescent="0.3">
      <c r="A11" s="4" t="s">
        <v>14</v>
      </c>
      <c r="B11" s="4">
        <v>2</v>
      </c>
      <c r="C11" s="4">
        <v>201</v>
      </c>
      <c r="D11" s="4">
        <v>2.39</v>
      </c>
      <c r="E11" s="4">
        <v>217</v>
      </c>
      <c r="F11" s="4">
        <v>85</v>
      </c>
    </row>
    <row r="12" spans="1:6" x14ac:dyDescent="0.3">
      <c r="A12" s="4" t="s">
        <v>15</v>
      </c>
      <c r="B12" s="4">
        <v>3</v>
      </c>
      <c r="C12" s="4">
        <v>131</v>
      </c>
      <c r="D12" s="4">
        <v>4</v>
      </c>
      <c r="E12" s="4">
        <v>131</v>
      </c>
      <c r="F12" s="4">
        <v>131</v>
      </c>
    </row>
    <row r="13" spans="1:6" x14ac:dyDescent="0.3">
      <c r="A13" s="4" t="s">
        <v>16</v>
      </c>
      <c r="B13" s="4">
        <v>2</v>
      </c>
      <c r="C13" s="4">
        <v>94</v>
      </c>
      <c r="D13" s="4">
        <v>1.35</v>
      </c>
      <c r="E13" s="4">
        <v>127</v>
      </c>
      <c r="F13" s="4">
        <v>3</v>
      </c>
    </row>
    <row r="14" spans="1:6" x14ac:dyDescent="0.3">
      <c r="A14" s="4" t="s">
        <v>17</v>
      </c>
      <c r="B14" s="4">
        <v>1</v>
      </c>
      <c r="C14" s="4">
        <v>100</v>
      </c>
      <c r="D14" s="4">
        <v>2.59</v>
      </c>
      <c r="E14" s="4">
        <v>104</v>
      </c>
      <c r="F14" s="4">
        <v>60</v>
      </c>
    </row>
    <row r="15" spans="1:6" x14ac:dyDescent="0.3">
      <c r="A15" s="4" t="s">
        <v>18</v>
      </c>
      <c r="B15" s="4">
        <v>2</v>
      </c>
      <c r="C15" s="4">
        <v>91</v>
      </c>
      <c r="D15" s="4">
        <v>2.0699999999999998</v>
      </c>
      <c r="E15" s="4">
        <v>91</v>
      </c>
      <c r="F15" s="4">
        <v>13</v>
      </c>
    </row>
    <row r="16" spans="1:6" x14ac:dyDescent="0.3">
      <c r="A16" s="4" t="s">
        <v>19</v>
      </c>
      <c r="B16" s="4">
        <v>3</v>
      </c>
      <c r="C16" s="4">
        <v>15</v>
      </c>
      <c r="D16" s="4">
        <v>1.67</v>
      </c>
      <c r="E16" s="4">
        <v>15</v>
      </c>
      <c r="F16" s="4">
        <v>3</v>
      </c>
    </row>
    <row r="17" spans="1:6" x14ac:dyDescent="0.3">
      <c r="A17" s="4" t="s">
        <v>20</v>
      </c>
      <c r="B17" s="4">
        <v>2</v>
      </c>
      <c r="C17" s="4">
        <v>8</v>
      </c>
      <c r="D17" s="4">
        <v>1.1200000000000001</v>
      </c>
      <c r="E17" s="4">
        <v>8</v>
      </c>
      <c r="F17" s="4">
        <v>0</v>
      </c>
    </row>
  </sheetData>
  <mergeCells count="1">
    <mergeCell ref="A2:F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</sheetPr>
  <dimension ref="A1:G28"/>
  <sheetViews>
    <sheetView topLeftCell="A24" zoomScale="69" workbookViewId="0">
      <selection activeCell="N50" sqref="N50"/>
    </sheetView>
  </sheetViews>
  <sheetFormatPr defaultRowHeight="14.4" x14ac:dyDescent="0.3"/>
  <cols>
    <col min="1" max="1" width="35" customWidth="1"/>
    <col min="2" max="6" width="10" customWidth="1"/>
    <col min="7" max="7" width="21" customWidth="1"/>
  </cols>
  <sheetData>
    <row r="1" spans="1:7" ht="17.399999999999999" x14ac:dyDescent="0.3">
      <c r="A1" s="1" t="s">
        <v>21</v>
      </c>
    </row>
    <row r="2" spans="1:7" x14ac:dyDescent="0.3">
      <c r="A2" s="2" t="s">
        <v>22</v>
      </c>
    </row>
    <row r="4" spans="1:7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</row>
    <row r="5" spans="1:7" x14ac:dyDescent="0.3">
      <c r="A5" s="4" t="s">
        <v>30</v>
      </c>
      <c r="B5" s="4">
        <v>183</v>
      </c>
      <c r="C5" s="4">
        <v>1</v>
      </c>
      <c r="D5" s="4">
        <v>40</v>
      </c>
      <c r="E5" s="4">
        <v>148</v>
      </c>
      <c r="F5" s="4">
        <v>372</v>
      </c>
      <c r="G5" s="5">
        <v>0.39784946236559138</v>
      </c>
    </row>
    <row r="6" spans="1:7" x14ac:dyDescent="0.3">
      <c r="A6" s="4" t="s">
        <v>31</v>
      </c>
      <c r="B6" s="4">
        <v>181</v>
      </c>
      <c r="C6" s="4">
        <v>2</v>
      </c>
      <c r="D6" s="4">
        <v>36</v>
      </c>
      <c r="E6" s="4">
        <v>142</v>
      </c>
      <c r="F6" s="4">
        <v>361</v>
      </c>
      <c r="G6" s="5">
        <v>0.39335180055401658</v>
      </c>
    </row>
    <row r="7" spans="1:7" x14ac:dyDescent="0.3">
      <c r="A7" s="4" t="s">
        <v>32</v>
      </c>
      <c r="B7" s="4">
        <v>69</v>
      </c>
      <c r="C7" s="4">
        <v>1</v>
      </c>
      <c r="D7" s="4">
        <v>25</v>
      </c>
      <c r="E7" s="4">
        <v>61</v>
      </c>
      <c r="F7" s="4">
        <v>156</v>
      </c>
      <c r="G7" s="5">
        <v>0.39102564102564102</v>
      </c>
    </row>
    <row r="8" spans="1:7" x14ac:dyDescent="0.3">
      <c r="A8" s="4" t="s">
        <v>33</v>
      </c>
      <c r="B8" s="4">
        <v>136</v>
      </c>
      <c r="C8" s="4">
        <v>0</v>
      </c>
      <c r="D8" s="4">
        <v>30</v>
      </c>
      <c r="E8" s="4">
        <v>102</v>
      </c>
      <c r="F8" s="4">
        <v>268</v>
      </c>
      <c r="G8" s="5">
        <v>0.38059701492537312</v>
      </c>
    </row>
    <row r="9" spans="1:7" x14ac:dyDescent="0.3">
      <c r="A9" s="4" t="s">
        <v>34</v>
      </c>
      <c r="B9" s="4">
        <v>133</v>
      </c>
      <c r="C9" s="4">
        <v>0</v>
      </c>
      <c r="D9" s="4">
        <v>34</v>
      </c>
      <c r="E9" s="4">
        <v>94</v>
      </c>
      <c r="F9" s="4">
        <v>261</v>
      </c>
      <c r="G9" s="5">
        <v>0.36015325670498077</v>
      </c>
    </row>
    <row r="10" spans="1:7" x14ac:dyDescent="0.3">
      <c r="A10" s="4" t="s">
        <v>35</v>
      </c>
      <c r="B10" s="4">
        <v>122</v>
      </c>
      <c r="C10" s="4">
        <v>0</v>
      </c>
      <c r="D10" s="4">
        <v>23</v>
      </c>
      <c r="E10" s="4">
        <v>76</v>
      </c>
      <c r="F10" s="4">
        <v>221</v>
      </c>
      <c r="G10" s="5">
        <v>0.34389140271493213</v>
      </c>
    </row>
    <row r="11" spans="1:7" x14ac:dyDescent="0.3">
      <c r="A11" s="4" t="s">
        <v>36</v>
      </c>
      <c r="B11" s="4">
        <v>102</v>
      </c>
      <c r="C11" s="4">
        <v>2</v>
      </c>
      <c r="D11" s="4">
        <v>27</v>
      </c>
      <c r="E11" s="4">
        <v>68</v>
      </c>
      <c r="F11" s="4">
        <v>199</v>
      </c>
      <c r="G11" s="5">
        <v>0.34170854271356782</v>
      </c>
    </row>
    <row r="12" spans="1:7" x14ac:dyDescent="0.3">
      <c r="A12" s="4" t="s">
        <v>37</v>
      </c>
      <c r="B12" s="4">
        <v>179</v>
      </c>
      <c r="C12" s="4">
        <v>0</v>
      </c>
      <c r="D12" s="4">
        <v>52</v>
      </c>
      <c r="E12" s="4">
        <v>119</v>
      </c>
      <c r="F12" s="4">
        <v>350</v>
      </c>
      <c r="G12" s="5">
        <v>0.34</v>
      </c>
    </row>
    <row r="13" spans="1:7" x14ac:dyDescent="0.3">
      <c r="A13" s="4" t="s">
        <v>38</v>
      </c>
      <c r="B13" s="4">
        <v>119</v>
      </c>
      <c r="C13" s="4">
        <v>0</v>
      </c>
      <c r="D13" s="4">
        <v>34</v>
      </c>
      <c r="E13" s="4">
        <v>78</v>
      </c>
      <c r="F13" s="4">
        <v>231</v>
      </c>
      <c r="G13" s="5">
        <v>0.33766233766233772</v>
      </c>
    </row>
    <row r="14" spans="1:7" x14ac:dyDescent="0.3">
      <c r="A14" s="4" t="s">
        <v>39</v>
      </c>
      <c r="B14" s="4">
        <v>120</v>
      </c>
      <c r="C14" s="4">
        <v>1</v>
      </c>
      <c r="D14" s="4">
        <v>16</v>
      </c>
      <c r="E14" s="4">
        <v>68</v>
      </c>
      <c r="F14" s="4">
        <v>205</v>
      </c>
      <c r="G14" s="5">
        <v>0.33170731707317069</v>
      </c>
    </row>
    <row r="15" spans="1:7" x14ac:dyDescent="0.3">
      <c r="A15" s="4" t="s">
        <v>40</v>
      </c>
      <c r="B15" s="4">
        <v>132</v>
      </c>
      <c r="C15" s="4">
        <v>0</v>
      </c>
      <c r="D15" s="4">
        <v>24</v>
      </c>
      <c r="E15" s="4">
        <v>77</v>
      </c>
      <c r="F15" s="4">
        <v>233</v>
      </c>
      <c r="G15" s="5">
        <v>0.33047210300429192</v>
      </c>
    </row>
    <row r="16" spans="1:7" x14ac:dyDescent="0.3">
      <c r="A16" s="4" t="s">
        <v>41</v>
      </c>
      <c r="B16" s="4">
        <v>99</v>
      </c>
      <c r="C16" s="4">
        <v>1</v>
      </c>
      <c r="D16" s="4">
        <v>27</v>
      </c>
      <c r="E16" s="4">
        <v>62</v>
      </c>
      <c r="F16" s="4">
        <v>189</v>
      </c>
      <c r="G16" s="5">
        <v>0.32804232804232802</v>
      </c>
    </row>
    <row r="17" spans="1:7" x14ac:dyDescent="0.3">
      <c r="A17" s="4" t="s">
        <v>42</v>
      </c>
      <c r="B17" s="4">
        <v>125</v>
      </c>
      <c r="C17" s="4">
        <v>1</v>
      </c>
      <c r="D17" s="4">
        <v>24</v>
      </c>
      <c r="E17" s="4">
        <v>73</v>
      </c>
      <c r="F17" s="4">
        <v>223</v>
      </c>
      <c r="G17" s="5">
        <v>0.3273542600896861</v>
      </c>
    </row>
    <row r="18" spans="1:7" x14ac:dyDescent="0.3">
      <c r="A18" s="4" t="s">
        <v>43</v>
      </c>
      <c r="B18" s="4">
        <v>137</v>
      </c>
      <c r="C18" s="4">
        <v>0</v>
      </c>
      <c r="D18" s="4">
        <v>27</v>
      </c>
      <c r="E18" s="4">
        <v>77</v>
      </c>
      <c r="F18" s="4">
        <v>241</v>
      </c>
      <c r="G18" s="5">
        <v>0.31950207468879671</v>
      </c>
    </row>
    <row r="19" spans="1:7" x14ac:dyDescent="0.3">
      <c r="A19" s="4" t="s">
        <v>44</v>
      </c>
      <c r="B19" s="4">
        <v>126</v>
      </c>
      <c r="C19" s="4">
        <v>0</v>
      </c>
      <c r="D19" s="4">
        <v>30</v>
      </c>
      <c r="E19" s="4">
        <v>71</v>
      </c>
      <c r="F19" s="4">
        <v>227</v>
      </c>
      <c r="G19" s="5">
        <v>0.31277533039647581</v>
      </c>
    </row>
    <row r="20" spans="1:7" x14ac:dyDescent="0.3">
      <c r="A20" s="4" t="s">
        <v>45</v>
      </c>
      <c r="B20" s="4">
        <v>191</v>
      </c>
      <c r="C20" s="4">
        <v>1</v>
      </c>
      <c r="D20" s="4">
        <v>38</v>
      </c>
      <c r="E20" s="4">
        <v>103</v>
      </c>
      <c r="F20" s="4">
        <v>333</v>
      </c>
      <c r="G20" s="5">
        <v>0.30930930930930928</v>
      </c>
    </row>
    <row r="21" spans="1:7" x14ac:dyDescent="0.3">
      <c r="A21" s="4" t="s">
        <v>46</v>
      </c>
      <c r="B21" s="4">
        <v>206</v>
      </c>
      <c r="C21" s="4">
        <v>0</v>
      </c>
      <c r="D21" s="4">
        <v>26</v>
      </c>
      <c r="E21" s="4">
        <v>103</v>
      </c>
      <c r="F21" s="4">
        <v>335</v>
      </c>
      <c r="G21" s="5">
        <v>0.30746268656716419</v>
      </c>
    </row>
    <row r="22" spans="1:7" x14ac:dyDescent="0.3">
      <c r="A22" s="4" t="s">
        <v>47</v>
      </c>
      <c r="B22" s="4">
        <v>59</v>
      </c>
      <c r="C22" s="4">
        <v>0</v>
      </c>
      <c r="D22" s="4">
        <v>13</v>
      </c>
      <c r="E22" s="4">
        <v>31</v>
      </c>
      <c r="F22" s="4">
        <v>103</v>
      </c>
      <c r="G22" s="5">
        <v>0.30097087378640769</v>
      </c>
    </row>
    <row r="23" spans="1:7" x14ac:dyDescent="0.3">
      <c r="A23" s="4" t="s">
        <v>48</v>
      </c>
      <c r="B23" s="4">
        <v>59</v>
      </c>
      <c r="C23" s="4">
        <v>0</v>
      </c>
      <c r="D23" s="4">
        <v>13</v>
      </c>
      <c r="E23" s="4">
        <v>30</v>
      </c>
      <c r="F23" s="4">
        <v>102</v>
      </c>
      <c r="G23" s="5">
        <v>0.29411764705882348</v>
      </c>
    </row>
    <row r="24" spans="1:7" x14ac:dyDescent="0.3">
      <c r="A24" s="4" t="s">
        <v>49</v>
      </c>
      <c r="B24" s="4">
        <v>143</v>
      </c>
      <c r="C24" s="4">
        <v>1</v>
      </c>
      <c r="D24" s="4">
        <v>25</v>
      </c>
      <c r="E24" s="4">
        <v>68</v>
      </c>
      <c r="F24" s="4">
        <v>237</v>
      </c>
      <c r="G24" s="5">
        <v>0.28691983122362869</v>
      </c>
    </row>
    <row r="25" spans="1:7" x14ac:dyDescent="0.3">
      <c r="A25" s="4" t="s">
        <v>50</v>
      </c>
      <c r="B25" s="4">
        <v>132</v>
      </c>
      <c r="C25" s="4">
        <v>0</v>
      </c>
      <c r="D25" s="4">
        <v>23</v>
      </c>
      <c r="E25" s="4">
        <v>62</v>
      </c>
      <c r="F25" s="4">
        <v>217</v>
      </c>
      <c r="G25" s="5">
        <v>0.2857142857142857</v>
      </c>
    </row>
    <row r="26" spans="1:7" x14ac:dyDescent="0.3">
      <c r="A26" s="4" t="s">
        <v>51</v>
      </c>
      <c r="B26" s="4">
        <v>23</v>
      </c>
      <c r="C26" s="4">
        <v>0</v>
      </c>
      <c r="D26" s="4">
        <v>3</v>
      </c>
      <c r="E26" s="4">
        <v>10</v>
      </c>
      <c r="F26" s="4">
        <v>36</v>
      </c>
      <c r="G26" s="5">
        <v>0.27777777777777779</v>
      </c>
    </row>
    <row r="27" spans="1:7" x14ac:dyDescent="0.3">
      <c r="A27" s="4" t="s">
        <v>52</v>
      </c>
      <c r="B27" s="4">
        <v>150</v>
      </c>
      <c r="C27" s="4">
        <v>0</v>
      </c>
      <c r="D27" s="4">
        <v>22</v>
      </c>
      <c r="E27" s="4">
        <v>54</v>
      </c>
      <c r="F27" s="4">
        <v>226</v>
      </c>
      <c r="G27" s="5">
        <v>0.23893805309734509</v>
      </c>
    </row>
    <row r="28" spans="1:7" x14ac:dyDescent="0.3">
      <c r="A28" s="4" t="s">
        <v>53</v>
      </c>
      <c r="B28" s="4">
        <v>35</v>
      </c>
      <c r="C28" s="4">
        <v>0</v>
      </c>
      <c r="D28" s="4">
        <v>0</v>
      </c>
      <c r="E28" s="4">
        <v>2</v>
      </c>
      <c r="F28" s="4">
        <v>37</v>
      </c>
      <c r="G28" s="5">
        <v>5.4054054054054057E-2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7706"/>
  </sheetPr>
  <dimension ref="A1:I19"/>
  <sheetViews>
    <sheetView topLeftCell="A17" zoomScale="70" workbookViewId="0">
      <selection activeCell="C57" sqref="C57"/>
    </sheetView>
  </sheetViews>
  <sheetFormatPr defaultRowHeight="14.4" x14ac:dyDescent="0.3"/>
  <cols>
    <col min="1" max="1" width="35" customWidth="1"/>
    <col min="2" max="2" width="25" customWidth="1"/>
    <col min="3" max="3" width="29" customWidth="1"/>
    <col min="4" max="4" width="31" customWidth="1"/>
    <col min="5" max="5" width="19" customWidth="1"/>
    <col min="6" max="6" width="26" customWidth="1"/>
    <col min="7" max="7" width="28" customWidth="1"/>
    <col min="8" max="8" width="25" customWidth="1"/>
    <col min="9" max="9" width="33" customWidth="1"/>
  </cols>
  <sheetData>
    <row r="1" spans="1:9" ht="17.399999999999999" x14ac:dyDescent="0.3">
      <c r="A1" s="1" t="s">
        <v>54</v>
      </c>
    </row>
    <row r="2" spans="1:9" x14ac:dyDescent="0.3">
      <c r="A2" s="2" t="s">
        <v>55</v>
      </c>
    </row>
    <row r="4" spans="1:9" x14ac:dyDescent="0.3">
      <c r="A4" s="3" t="s">
        <v>56</v>
      </c>
      <c r="B4" s="3" t="s">
        <v>8</v>
      </c>
      <c r="C4" s="3" t="s">
        <v>12</v>
      </c>
      <c r="D4" s="3" t="s">
        <v>19</v>
      </c>
      <c r="E4" s="3" t="s">
        <v>11</v>
      </c>
      <c r="F4" s="3" t="s">
        <v>10</v>
      </c>
      <c r="G4" s="3" t="s">
        <v>13</v>
      </c>
      <c r="H4" s="3" t="s">
        <v>9</v>
      </c>
      <c r="I4" s="3" t="s">
        <v>18</v>
      </c>
    </row>
    <row r="5" spans="1:9" x14ac:dyDescent="0.3">
      <c r="A5" s="4" t="s">
        <v>57</v>
      </c>
      <c r="B5" s="4">
        <v>122</v>
      </c>
      <c r="C5" s="4">
        <v>21</v>
      </c>
      <c r="D5" s="4">
        <v>27</v>
      </c>
      <c r="E5" s="4">
        <v>58</v>
      </c>
      <c r="F5" s="4">
        <v>28</v>
      </c>
      <c r="G5" s="4">
        <v>107</v>
      </c>
      <c r="H5" s="4">
        <v>82</v>
      </c>
      <c r="I5" s="4">
        <v>61</v>
      </c>
    </row>
    <row r="6" spans="1:9" x14ac:dyDescent="0.3">
      <c r="A6" s="4" t="s">
        <v>58</v>
      </c>
      <c r="B6" s="4">
        <v>101</v>
      </c>
      <c r="C6" s="4">
        <v>7</v>
      </c>
      <c r="D6" s="4">
        <v>20</v>
      </c>
      <c r="E6" s="4">
        <v>66</v>
      </c>
      <c r="F6" s="4">
        <v>28</v>
      </c>
      <c r="G6" s="4">
        <v>102</v>
      </c>
      <c r="H6" s="4">
        <v>83</v>
      </c>
      <c r="I6" s="4">
        <v>56</v>
      </c>
    </row>
    <row r="7" spans="1:9" x14ac:dyDescent="0.3">
      <c r="A7" s="4" t="s">
        <v>59</v>
      </c>
      <c r="B7" s="4">
        <v>102</v>
      </c>
      <c r="C7" s="4">
        <v>16</v>
      </c>
      <c r="D7" s="4">
        <v>27</v>
      </c>
      <c r="E7" s="4">
        <v>48</v>
      </c>
      <c r="F7" s="4">
        <v>29</v>
      </c>
      <c r="G7" s="4">
        <v>98</v>
      </c>
      <c r="H7" s="4">
        <v>77</v>
      </c>
      <c r="I7" s="4">
        <v>54</v>
      </c>
    </row>
    <row r="8" spans="1:9" x14ac:dyDescent="0.3">
      <c r="A8" s="4" t="s">
        <v>60</v>
      </c>
      <c r="B8" s="4">
        <v>111</v>
      </c>
      <c r="C8" s="4">
        <v>15</v>
      </c>
      <c r="D8" s="4">
        <v>23</v>
      </c>
      <c r="E8" s="4">
        <v>49</v>
      </c>
      <c r="F8" s="4">
        <v>32</v>
      </c>
      <c r="G8" s="4">
        <v>84</v>
      </c>
      <c r="H8" s="4">
        <v>90</v>
      </c>
      <c r="I8" s="4">
        <v>50</v>
      </c>
    </row>
    <row r="9" spans="1:9" x14ac:dyDescent="0.3">
      <c r="A9" s="4" t="s">
        <v>61</v>
      </c>
      <c r="B9" s="4">
        <v>110</v>
      </c>
      <c r="C9" s="4">
        <v>18</v>
      </c>
      <c r="D9" s="4">
        <v>32</v>
      </c>
      <c r="E9" s="4">
        <v>63</v>
      </c>
      <c r="F9" s="4">
        <v>35</v>
      </c>
      <c r="G9" s="4">
        <v>87</v>
      </c>
      <c r="H9" s="4">
        <v>84</v>
      </c>
      <c r="I9" s="4">
        <v>59</v>
      </c>
    </row>
    <row r="10" spans="1:9" x14ac:dyDescent="0.3">
      <c r="A10" s="4" t="s">
        <v>62</v>
      </c>
      <c r="B10" s="4">
        <v>139</v>
      </c>
      <c r="C10" s="4">
        <v>10</v>
      </c>
      <c r="D10" s="4">
        <v>27</v>
      </c>
      <c r="E10" s="4">
        <v>61</v>
      </c>
      <c r="F10" s="4">
        <v>41</v>
      </c>
      <c r="G10" s="4">
        <v>118</v>
      </c>
      <c r="H10" s="4">
        <v>84</v>
      </c>
      <c r="I10" s="4">
        <v>56</v>
      </c>
    </row>
    <row r="11" spans="1:9" x14ac:dyDescent="0.3">
      <c r="A11" s="4" t="s">
        <v>63</v>
      </c>
      <c r="B11" s="4">
        <v>118</v>
      </c>
      <c r="C11" s="4">
        <v>64</v>
      </c>
      <c r="D11" s="4">
        <v>33</v>
      </c>
      <c r="E11" s="4">
        <v>71</v>
      </c>
      <c r="F11" s="4">
        <v>22</v>
      </c>
      <c r="G11" s="4">
        <v>107</v>
      </c>
      <c r="H11" s="4">
        <v>87</v>
      </c>
      <c r="I11" s="4">
        <v>55</v>
      </c>
    </row>
    <row r="12" spans="1:9" x14ac:dyDescent="0.3">
      <c r="A12" s="4" t="s">
        <v>64</v>
      </c>
      <c r="B12" s="4">
        <v>119</v>
      </c>
      <c r="C12" s="4">
        <v>60</v>
      </c>
      <c r="D12" s="4">
        <v>28</v>
      </c>
      <c r="E12" s="4">
        <v>62</v>
      </c>
      <c r="F12" s="4">
        <v>40</v>
      </c>
      <c r="G12" s="4">
        <v>122</v>
      </c>
      <c r="H12" s="4">
        <v>76</v>
      </c>
      <c r="I12" s="4">
        <v>56</v>
      </c>
    </row>
    <row r="13" spans="1:9" x14ac:dyDescent="0.3">
      <c r="A13" s="4" t="s">
        <v>65</v>
      </c>
      <c r="B13" s="4">
        <v>103</v>
      </c>
      <c r="C13" s="4">
        <v>69</v>
      </c>
      <c r="D13" s="4">
        <v>36</v>
      </c>
      <c r="E13" s="4">
        <v>61</v>
      </c>
      <c r="F13" s="4">
        <v>25</v>
      </c>
      <c r="G13" s="4">
        <v>99</v>
      </c>
      <c r="H13" s="4">
        <v>86</v>
      </c>
      <c r="I13" s="4">
        <v>72</v>
      </c>
    </row>
    <row r="14" spans="1:9" x14ac:dyDescent="0.3">
      <c r="A14" s="4" t="s">
        <v>66</v>
      </c>
      <c r="B14" s="4">
        <v>121</v>
      </c>
      <c r="C14" s="4">
        <v>17</v>
      </c>
      <c r="D14" s="4">
        <v>25</v>
      </c>
      <c r="E14" s="4">
        <v>64</v>
      </c>
      <c r="F14" s="4">
        <v>28</v>
      </c>
      <c r="G14" s="4">
        <v>110</v>
      </c>
      <c r="H14" s="4">
        <v>89</v>
      </c>
      <c r="I14" s="4">
        <v>78</v>
      </c>
    </row>
    <row r="15" spans="1:9" x14ac:dyDescent="0.3">
      <c r="A15" s="4" t="s">
        <v>67</v>
      </c>
      <c r="B15" s="4">
        <v>124</v>
      </c>
      <c r="C15" s="4">
        <v>21</v>
      </c>
      <c r="D15" s="4">
        <v>29</v>
      </c>
      <c r="E15" s="4">
        <v>78</v>
      </c>
      <c r="F15" s="4">
        <v>37</v>
      </c>
      <c r="G15" s="4">
        <v>114</v>
      </c>
      <c r="H15" s="4">
        <v>87</v>
      </c>
      <c r="I15" s="4">
        <v>66</v>
      </c>
    </row>
    <row r="16" spans="1:9" x14ac:dyDescent="0.3">
      <c r="A16" s="4" t="s">
        <v>68</v>
      </c>
      <c r="B16" s="4">
        <v>106</v>
      </c>
      <c r="C16" s="4">
        <v>16</v>
      </c>
      <c r="D16" s="4">
        <v>30</v>
      </c>
      <c r="E16" s="4">
        <v>75</v>
      </c>
      <c r="F16" s="4">
        <v>40</v>
      </c>
      <c r="G16" s="4">
        <v>118</v>
      </c>
      <c r="H16" s="4">
        <v>86</v>
      </c>
      <c r="I16" s="4">
        <v>82</v>
      </c>
    </row>
    <row r="17" spans="1:9" x14ac:dyDescent="0.3">
      <c r="A17" s="4" t="s">
        <v>69</v>
      </c>
      <c r="B17" s="4">
        <v>1</v>
      </c>
      <c r="C17" s="4">
        <v>1</v>
      </c>
      <c r="D17" s="4">
        <v>1</v>
      </c>
      <c r="E17" s="4">
        <v>3</v>
      </c>
      <c r="F17" s="4">
        <v>0</v>
      </c>
      <c r="G17" s="4">
        <v>1</v>
      </c>
      <c r="H17" s="4">
        <v>0</v>
      </c>
      <c r="I17" s="4">
        <v>0</v>
      </c>
    </row>
    <row r="18" spans="1:9" x14ac:dyDescent="0.3">
      <c r="A18" s="4" t="s">
        <v>70</v>
      </c>
      <c r="B18" s="4">
        <v>2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3">
      <c r="A19" s="4" t="s">
        <v>71</v>
      </c>
      <c r="B19" s="4">
        <v>0</v>
      </c>
      <c r="C19" s="4">
        <v>0</v>
      </c>
      <c r="D19" s="4">
        <v>0</v>
      </c>
      <c r="E19" s="4">
        <v>0</v>
      </c>
      <c r="F19" s="4">
        <v>1</v>
      </c>
      <c r="G19" s="4">
        <v>0</v>
      </c>
      <c r="H19" s="4">
        <v>0</v>
      </c>
      <c r="I19" s="4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N8"/>
  <sheetViews>
    <sheetView workbookViewId="0"/>
  </sheetViews>
  <sheetFormatPr defaultRowHeight="14.4" x14ac:dyDescent="0.3"/>
  <cols>
    <col min="1" max="1" width="35" customWidth="1"/>
    <col min="2" max="3" width="25" customWidth="1"/>
    <col min="4" max="4" width="26" customWidth="1"/>
    <col min="5" max="5" width="19" customWidth="1"/>
    <col min="6" max="6" width="29" customWidth="1"/>
    <col min="7" max="7" width="28" customWidth="1"/>
    <col min="8" max="8" width="22" customWidth="1"/>
    <col min="9" max="9" width="16" customWidth="1"/>
    <col min="10" max="10" width="24" customWidth="1"/>
    <col min="11" max="11" width="26" customWidth="1"/>
    <col min="12" max="12" width="33" customWidth="1"/>
    <col min="13" max="13" width="31" customWidth="1"/>
    <col min="14" max="14" width="24" customWidth="1"/>
  </cols>
  <sheetData>
    <row r="1" spans="1:14" ht="17.399999999999999" x14ac:dyDescent="0.3">
      <c r="A1" s="1" t="s">
        <v>72</v>
      </c>
    </row>
    <row r="2" spans="1:14" x14ac:dyDescent="0.3">
      <c r="A2" s="29" t="s">
        <v>73</v>
      </c>
      <c r="B2" s="30"/>
      <c r="C2" s="30"/>
      <c r="D2" s="30"/>
      <c r="E2" s="30"/>
      <c r="F2" s="30"/>
      <c r="G2" s="30"/>
    </row>
    <row r="4" spans="1:14" x14ac:dyDescent="0.3">
      <c r="A4" s="3" t="s">
        <v>74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</row>
    <row r="5" spans="1:14" x14ac:dyDescent="0.3">
      <c r="A5" s="6" t="s">
        <v>75</v>
      </c>
      <c r="B5" s="7">
        <v>67</v>
      </c>
      <c r="C5" s="8">
        <v>25</v>
      </c>
      <c r="D5" s="9">
        <v>1</v>
      </c>
      <c r="E5" s="10">
        <v>31</v>
      </c>
      <c r="F5" s="11">
        <v>109</v>
      </c>
      <c r="G5" s="12">
        <v>23</v>
      </c>
      <c r="H5" s="9">
        <v>2</v>
      </c>
      <c r="I5" s="13">
        <v>5</v>
      </c>
      <c r="J5" s="14">
        <v>0</v>
      </c>
      <c r="K5" s="14">
        <v>0</v>
      </c>
      <c r="L5" s="14">
        <v>0</v>
      </c>
      <c r="M5" s="9">
        <v>1</v>
      </c>
      <c r="N5" s="14">
        <v>0</v>
      </c>
    </row>
    <row r="6" spans="1:14" x14ac:dyDescent="0.3">
      <c r="A6" s="6" t="s">
        <v>76</v>
      </c>
      <c r="B6" s="15">
        <v>72</v>
      </c>
      <c r="C6" s="10">
        <v>31</v>
      </c>
      <c r="D6" s="13">
        <v>7</v>
      </c>
      <c r="E6" s="10">
        <v>31</v>
      </c>
      <c r="F6" s="9">
        <v>3</v>
      </c>
      <c r="G6" s="16">
        <v>54</v>
      </c>
      <c r="H6" s="14">
        <v>0</v>
      </c>
      <c r="I6" s="13">
        <v>8</v>
      </c>
      <c r="J6" s="17">
        <v>10</v>
      </c>
      <c r="K6" s="18">
        <v>104</v>
      </c>
      <c r="L6" s="19">
        <v>46</v>
      </c>
      <c r="M6" s="9">
        <v>1</v>
      </c>
      <c r="N6" s="9">
        <v>3</v>
      </c>
    </row>
    <row r="7" spans="1:14" x14ac:dyDescent="0.3">
      <c r="A7" s="6" t="s">
        <v>77</v>
      </c>
      <c r="B7" s="20">
        <v>715</v>
      </c>
      <c r="C7" s="21">
        <v>368</v>
      </c>
      <c r="D7" s="22">
        <v>369</v>
      </c>
      <c r="E7" s="23">
        <v>304</v>
      </c>
      <c r="F7" s="24">
        <v>187</v>
      </c>
      <c r="G7" s="25">
        <v>143</v>
      </c>
      <c r="H7" s="26">
        <v>215</v>
      </c>
      <c r="I7" s="27">
        <v>118</v>
      </c>
      <c r="J7" s="27">
        <v>117</v>
      </c>
      <c r="K7" s="14">
        <v>0</v>
      </c>
      <c r="L7" s="19">
        <v>45</v>
      </c>
      <c r="M7" s="28">
        <v>13</v>
      </c>
      <c r="N7" s="13">
        <v>5</v>
      </c>
    </row>
    <row r="8" spans="1:14" x14ac:dyDescent="0.3">
      <c r="A8" s="6" t="s">
        <v>78</v>
      </c>
      <c r="B8" s="9">
        <v>1</v>
      </c>
      <c r="C8" s="9">
        <v>1</v>
      </c>
      <c r="D8" s="14">
        <v>0</v>
      </c>
      <c r="E8" s="9">
        <v>1</v>
      </c>
      <c r="F8" s="14">
        <v>0</v>
      </c>
      <c r="G8" s="9">
        <v>1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9669"/>
  </sheetPr>
  <dimension ref="A1:G8"/>
  <sheetViews>
    <sheetView topLeftCell="A4" zoomScale="67" workbookViewId="0">
      <selection activeCell="I30" sqref="I30"/>
    </sheetView>
  </sheetViews>
  <sheetFormatPr defaultRowHeight="14.4" x14ac:dyDescent="0.3"/>
  <cols>
    <col min="1" max="1" width="35" customWidth="1"/>
    <col min="2" max="6" width="10" customWidth="1"/>
    <col min="7" max="7" width="21" customWidth="1"/>
  </cols>
  <sheetData>
    <row r="1" spans="1:7" ht="17.399999999999999" x14ac:dyDescent="0.3">
      <c r="A1" s="1" t="s">
        <v>79</v>
      </c>
    </row>
    <row r="2" spans="1:7" x14ac:dyDescent="0.3">
      <c r="A2" s="2" t="s">
        <v>80</v>
      </c>
    </row>
    <row r="4" spans="1:7" x14ac:dyDescent="0.3">
      <c r="A4" s="3" t="s">
        <v>74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28</v>
      </c>
      <c r="G4" s="3" t="s">
        <v>85</v>
      </c>
    </row>
    <row r="5" spans="1:7" x14ac:dyDescent="0.3">
      <c r="A5" s="4" t="s">
        <v>75</v>
      </c>
      <c r="B5" s="4">
        <v>392</v>
      </c>
      <c r="C5" s="4">
        <v>178</v>
      </c>
      <c r="D5" s="4">
        <v>72</v>
      </c>
      <c r="E5" s="4">
        <v>5</v>
      </c>
      <c r="F5" s="4">
        <v>647</v>
      </c>
      <c r="G5" s="5">
        <v>0.1190108191653787</v>
      </c>
    </row>
    <row r="6" spans="1:7" x14ac:dyDescent="0.3">
      <c r="A6" s="4" t="s">
        <v>76</v>
      </c>
      <c r="B6" s="4">
        <v>957</v>
      </c>
      <c r="C6" s="4">
        <v>185</v>
      </c>
      <c r="D6" s="4">
        <v>160</v>
      </c>
      <c r="E6" s="4">
        <v>9</v>
      </c>
      <c r="F6" s="4">
        <v>1311</v>
      </c>
      <c r="G6" s="5">
        <v>0.12890922959572851</v>
      </c>
    </row>
    <row r="7" spans="1:7" x14ac:dyDescent="0.3">
      <c r="A7" s="4" t="s">
        <v>77</v>
      </c>
      <c r="B7" s="4">
        <v>2600</v>
      </c>
      <c r="C7" s="4">
        <v>1318</v>
      </c>
      <c r="D7" s="4">
        <v>975</v>
      </c>
      <c r="E7" s="4">
        <v>148</v>
      </c>
      <c r="F7" s="4">
        <v>5041</v>
      </c>
      <c r="G7" s="5">
        <v>0.22277325927395361</v>
      </c>
    </row>
    <row r="8" spans="1:7" x14ac:dyDescent="0.3">
      <c r="A8" s="4" t="s">
        <v>78</v>
      </c>
      <c r="B8" s="4">
        <v>5</v>
      </c>
      <c r="C8" s="4">
        <v>2</v>
      </c>
      <c r="D8" s="4">
        <v>1</v>
      </c>
      <c r="E8" s="4">
        <v>0</v>
      </c>
      <c r="F8" s="4">
        <v>8</v>
      </c>
      <c r="G8" s="5">
        <v>0.125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91B2"/>
  </sheetPr>
  <dimension ref="A1:G19"/>
  <sheetViews>
    <sheetView tabSelected="1" topLeftCell="A17" zoomScale="91" workbookViewId="0">
      <selection activeCell="P28" sqref="P28"/>
    </sheetView>
  </sheetViews>
  <sheetFormatPr defaultRowHeight="14.4" x14ac:dyDescent="0.3"/>
  <cols>
    <col min="1" max="1" width="35" customWidth="1"/>
    <col min="2" max="2" width="15" customWidth="1"/>
    <col min="3" max="3" width="12" hidden="1" customWidth="1"/>
    <col min="4" max="5" width="10" hidden="1" customWidth="1"/>
    <col min="6" max="6" width="21" hidden="1" customWidth="1"/>
    <col min="7" max="7" width="21" customWidth="1"/>
  </cols>
  <sheetData>
    <row r="1" spans="1:7" ht="17.399999999999999" x14ac:dyDescent="0.3">
      <c r="A1" s="1" t="s">
        <v>86</v>
      </c>
    </row>
    <row r="2" spans="1:7" x14ac:dyDescent="0.3">
      <c r="A2" s="2" t="s">
        <v>87</v>
      </c>
    </row>
    <row r="4" spans="1:7" x14ac:dyDescent="0.3">
      <c r="A4" s="3" t="s">
        <v>56</v>
      </c>
      <c r="B4" s="3" t="s">
        <v>88</v>
      </c>
      <c r="C4" s="3" t="s">
        <v>89</v>
      </c>
      <c r="D4" s="3" t="s">
        <v>24</v>
      </c>
      <c r="E4" s="3" t="s">
        <v>27</v>
      </c>
      <c r="F4" s="3" t="s">
        <v>90</v>
      </c>
      <c r="G4" s="3" t="s">
        <v>29</v>
      </c>
    </row>
    <row r="5" spans="1:7" x14ac:dyDescent="0.3">
      <c r="A5" s="4" t="s">
        <v>57</v>
      </c>
      <c r="B5" s="4">
        <v>583</v>
      </c>
      <c r="C5" s="4">
        <v>3.82</v>
      </c>
      <c r="D5" s="4">
        <v>239</v>
      </c>
      <c r="E5" s="4">
        <v>132</v>
      </c>
      <c r="F5" s="5">
        <v>0.40994854202401371</v>
      </c>
      <c r="G5" s="5">
        <v>0.22641509433962259</v>
      </c>
    </row>
    <row r="6" spans="1:7" x14ac:dyDescent="0.3">
      <c r="A6" s="4" t="s">
        <v>58</v>
      </c>
      <c r="B6" s="4">
        <v>537</v>
      </c>
      <c r="C6" s="4">
        <v>3.85</v>
      </c>
      <c r="D6" s="4">
        <v>239</v>
      </c>
      <c r="E6" s="4">
        <v>118</v>
      </c>
      <c r="F6" s="5">
        <v>0.4450651769087523</v>
      </c>
      <c r="G6" s="5">
        <v>0.21973929236499071</v>
      </c>
    </row>
    <row r="7" spans="1:7" x14ac:dyDescent="0.3">
      <c r="A7" s="4" t="s">
        <v>59</v>
      </c>
      <c r="B7" s="4">
        <v>526</v>
      </c>
      <c r="C7" s="4">
        <v>3.94</v>
      </c>
      <c r="D7" s="4">
        <v>246</v>
      </c>
      <c r="E7" s="4">
        <v>102</v>
      </c>
      <c r="F7" s="5">
        <v>0.46768060836501901</v>
      </c>
      <c r="G7" s="5">
        <v>0.1939163498098859</v>
      </c>
    </row>
    <row r="8" spans="1:7" x14ac:dyDescent="0.3">
      <c r="A8" s="4" t="s">
        <v>60</v>
      </c>
      <c r="B8" s="4">
        <v>518</v>
      </c>
      <c r="C8" s="4">
        <v>3.65</v>
      </c>
      <c r="D8" s="4">
        <v>213</v>
      </c>
      <c r="E8" s="4">
        <v>119</v>
      </c>
      <c r="F8" s="5">
        <v>0.41119691119691121</v>
      </c>
      <c r="G8" s="5">
        <v>0.22972972972972969</v>
      </c>
    </row>
    <row r="9" spans="1:7" x14ac:dyDescent="0.3">
      <c r="A9" s="4" t="s">
        <v>61</v>
      </c>
      <c r="B9" s="4">
        <v>593</v>
      </c>
      <c r="C9" s="4">
        <v>3.86</v>
      </c>
      <c r="D9" s="4">
        <v>263</v>
      </c>
      <c r="E9" s="4">
        <v>130</v>
      </c>
      <c r="F9" s="5">
        <v>0.44350758853288358</v>
      </c>
      <c r="G9" s="5">
        <v>0.2192242833052277</v>
      </c>
    </row>
    <row r="10" spans="1:7" x14ac:dyDescent="0.3">
      <c r="A10" s="4" t="s">
        <v>62</v>
      </c>
      <c r="B10" s="4">
        <v>614</v>
      </c>
      <c r="C10" s="4">
        <v>3.7</v>
      </c>
      <c r="D10" s="4">
        <v>251</v>
      </c>
      <c r="E10" s="4">
        <v>151</v>
      </c>
      <c r="F10" s="5">
        <v>0.40879478827361571</v>
      </c>
      <c r="G10" s="5">
        <v>0.24592833876221501</v>
      </c>
    </row>
    <row r="11" spans="1:7" x14ac:dyDescent="0.3">
      <c r="A11" s="4" t="s">
        <v>63</v>
      </c>
      <c r="B11" s="4">
        <v>601</v>
      </c>
      <c r="C11" s="4">
        <v>3.5</v>
      </c>
      <c r="D11" s="4">
        <v>259</v>
      </c>
      <c r="E11" s="4">
        <v>169</v>
      </c>
      <c r="F11" s="5">
        <v>0.43094841930116468</v>
      </c>
      <c r="G11" s="5">
        <v>0.28119800332778699</v>
      </c>
    </row>
    <row r="12" spans="1:7" x14ac:dyDescent="0.3">
      <c r="A12" s="4" t="s">
        <v>64</v>
      </c>
      <c r="B12" s="4">
        <v>618</v>
      </c>
      <c r="C12" s="4">
        <v>3.58</v>
      </c>
      <c r="D12" s="4">
        <v>256</v>
      </c>
      <c r="E12" s="4">
        <v>162</v>
      </c>
      <c r="F12" s="5">
        <v>0.41423948220064732</v>
      </c>
      <c r="G12" s="5">
        <v>0.26213592233009708</v>
      </c>
    </row>
    <row r="13" spans="1:7" x14ac:dyDescent="0.3">
      <c r="A13" s="4" t="s">
        <v>65</v>
      </c>
      <c r="B13" s="4">
        <v>609</v>
      </c>
      <c r="C13" s="4">
        <v>3.52</v>
      </c>
      <c r="D13" s="4">
        <v>243</v>
      </c>
      <c r="E13" s="4">
        <v>182</v>
      </c>
      <c r="F13" s="5">
        <v>0.39901477832512322</v>
      </c>
      <c r="G13" s="5">
        <v>0.2988505747126437</v>
      </c>
    </row>
    <row r="14" spans="1:7" x14ac:dyDescent="0.3">
      <c r="A14" s="4" t="s">
        <v>66</v>
      </c>
      <c r="B14" s="4">
        <v>606</v>
      </c>
      <c r="C14" s="4">
        <v>3.6</v>
      </c>
      <c r="D14" s="4">
        <v>241</v>
      </c>
      <c r="E14" s="4">
        <v>154</v>
      </c>
      <c r="F14" s="5">
        <v>0.39768976897689767</v>
      </c>
      <c r="G14" s="5">
        <v>0.25412541254125409</v>
      </c>
    </row>
    <row r="15" spans="1:7" x14ac:dyDescent="0.3">
      <c r="A15" s="4" t="s">
        <v>67</v>
      </c>
      <c r="B15" s="4">
        <v>612</v>
      </c>
      <c r="C15" s="4">
        <v>3.49</v>
      </c>
      <c r="D15" s="4">
        <v>248</v>
      </c>
      <c r="E15" s="4">
        <v>187</v>
      </c>
      <c r="F15" s="5">
        <v>0.40522875816993459</v>
      </c>
      <c r="G15" s="5">
        <v>0.30555555555555558</v>
      </c>
    </row>
    <row r="16" spans="1:7" x14ac:dyDescent="0.3">
      <c r="A16" s="4" t="s">
        <v>68</v>
      </c>
      <c r="B16" s="4">
        <v>616</v>
      </c>
      <c r="C16" s="4">
        <v>3.69</v>
      </c>
      <c r="D16" s="4">
        <v>257</v>
      </c>
      <c r="E16" s="4">
        <v>170</v>
      </c>
      <c r="F16" s="5">
        <v>0.41720779220779219</v>
      </c>
      <c r="G16" s="5">
        <v>0.27597402597402598</v>
      </c>
    </row>
    <row r="17" spans="1:7" x14ac:dyDescent="0.3">
      <c r="A17" s="4" t="s">
        <v>69</v>
      </c>
      <c r="B17" s="4">
        <v>6</v>
      </c>
      <c r="C17" s="4">
        <v>3.67</v>
      </c>
      <c r="D17" s="4">
        <v>3</v>
      </c>
      <c r="E17" s="4">
        <v>2</v>
      </c>
      <c r="F17" s="5">
        <v>0.5</v>
      </c>
      <c r="G17" s="5">
        <v>0.33333333333333331</v>
      </c>
    </row>
    <row r="18" spans="1:7" x14ac:dyDescent="0.3">
      <c r="A18" s="4" t="s">
        <v>70</v>
      </c>
      <c r="B18" s="4">
        <v>4</v>
      </c>
      <c r="C18" s="4">
        <v>4.5</v>
      </c>
      <c r="D18" s="4">
        <v>3</v>
      </c>
      <c r="E18" s="4">
        <v>0</v>
      </c>
      <c r="F18" s="5">
        <v>0.75</v>
      </c>
      <c r="G18" s="5">
        <v>0</v>
      </c>
    </row>
    <row r="19" spans="1:7" x14ac:dyDescent="0.3">
      <c r="A19" s="4" t="s">
        <v>71</v>
      </c>
      <c r="B19" s="4">
        <v>2</v>
      </c>
      <c r="C19" s="4">
        <v>4</v>
      </c>
      <c r="D19" s="4">
        <v>0</v>
      </c>
      <c r="E19" s="4">
        <v>1</v>
      </c>
      <c r="F19" s="5">
        <v>0</v>
      </c>
      <c r="G19" s="5">
        <v>0.5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Theme Bubble Chart</vt:lpstr>
      <vt:lpstr>Sentiment by Dealership</vt:lpstr>
      <vt:lpstr>Theme Trends</vt:lpstr>
      <vt:lpstr>Dept × Theme Heatmap</vt:lpstr>
      <vt:lpstr>Severity Analysis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Damon Surrao</cp:lastModifiedBy>
  <dcterms:created xsi:type="dcterms:W3CDTF">2026-10-28T22:09:30Z</dcterms:created>
  <dcterms:modified xsi:type="dcterms:W3CDTF">2026-10-28T22:18:47Z</dcterms:modified>
</cp:coreProperties>
</file>