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me Bubble Chart" sheetId="1" state="visible" r:id="rId1"/>
    <sheet name="Sentiment by Dealership" sheetId="2" state="visible" r:id="rId2"/>
    <sheet name="Theme Trends" sheetId="3" state="visible" r:id="rId3"/>
    <sheet name="Dept × Theme Heatmap" sheetId="4" state="visible" r:id="rId4"/>
    <sheet name="Severity Analysis" sheetId="5" state="visible" r:id="rId5"/>
    <sheet name="Monthly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color rgb="00555555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24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FFEEEE"/>
        <bgColor rgb="00FFEEEE"/>
      </patternFill>
    </fill>
    <fill>
      <patternFill patternType="solid">
        <fgColor rgb="00FFF8F8"/>
        <bgColor rgb="00FFF8F8"/>
      </patternFill>
    </fill>
    <fill>
      <patternFill patternType="solid">
        <fgColor rgb="00FFFEFE"/>
        <bgColor rgb="00FFFEFE"/>
      </patternFill>
    </fill>
    <fill>
      <patternFill patternType="solid">
        <fgColor rgb="00FFF7F7"/>
        <bgColor rgb="00FFF7F7"/>
      </patternFill>
    </fill>
    <fill>
      <patternFill patternType="solid">
        <fgColor rgb="00FFE3E3"/>
        <bgColor rgb="00FFE3E3"/>
      </patternFill>
    </fill>
    <fill>
      <patternFill patternType="solid">
        <fgColor rgb="00FFF9F9"/>
        <bgColor rgb="00FFF9F9"/>
      </patternFill>
    </fill>
    <fill>
      <patternFill patternType="solid">
        <fgColor rgb="00FFFDFD"/>
        <bgColor rgb="00FFFDFD"/>
      </patternFill>
    </fill>
    <fill>
      <patternFill patternType="solid">
        <fgColor rgb="00FFEDED"/>
        <bgColor rgb="00FFEDED"/>
      </patternFill>
    </fill>
    <fill>
      <patternFill patternType="solid">
        <fgColor rgb="00FFF1F1"/>
        <bgColor rgb="00FFF1F1"/>
      </patternFill>
    </fill>
    <fill>
      <patternFill patternType="solid">
        <fgColor rgb="00FFFCFC"/>
        <bgColor rgb="00FFFCFC"/>
      </patternFill>
    </fill>
    <fill>
      <patternFill patternType="solid">
        <fgColor rgb="00FFE5E5"/>
        <bgColor rgb="00FFE5E5"/>
      </patternFill>
    </fill>
    <fill>
      <patternFill patternType="solid">
        <fgColor rgb="00FFF3F3"/>
        <bgColor rgb="00FFF3F3"/>
      </patternFill>
    </fill>
    <fill>
      <patternFill patternType="solid">
        <fgColor rgb="00FF4C4C"/>
        <bgColor rgb="00FF4C4C"/>
      </patternFill>
    </fill>
    <fill>
      <patternFill patternType="solid">
        <fgColor rgb="00FFA3A3"/>
        <bgColor rgb="00FFA3A3"/>
      </patternFill>
    </fill>
    <fill>
      <patternFill patternType="solid">
        <fgColor rgb="00FFA2A2"/>
        <bgColor rgb="00FFA2A2"/>
      </patternFill>
    </fill>
    <fill>
      <patternFill patternType="solid">
        <fgColor rgb="00FFB3B3"/>
        <bgColor rgb="00FFB3B3"/>
      </patternFill>
    </fill>
    <fill>
      <patternFill patternType="solid">
        <fgColor rgb="00FFD0D0"/>
        <bgColor rgb="00FFD0D0"/>
      </patternFill>
    </fill>
    <fill>
      <patternFill patternType="solid">
        <fgColor rgb="00FFDBDB"/>
        <bgColor rgb="00FFDBDB"/>
      </patternFill>
    </fill>
    <fill>
      <patternFill patternType="solid">
        <fgColor rgb="00FFC9C9"/>
        <bgColor rgb="00FFC9C9"/>
      </patternFill>
    </fill>
    <fill>
      <patternFill patternType="solid">
        <fgColor rgb="00FFE1E1"/>
        <bgColor rgb="00FFE1E1"/>
      </patternFill>
    </fill>
    <fill>
      <patternFill patternType="solid">
        <fgColor rgb="00FFFBFB"/>
        <bgColor rgb="00FFFBFB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5" fillId="0" borderId="0" pivotButton="0" quotePrefix="0" xfId="0"/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4" fillId="12" borderId="0" applyAlignment="1" pivotButton="0" quotePrefix="0" xfId="0">
      <alignment horizontal="center"/>
    </xf>
    <xf numFmtId="0" fontId="4" fillId="13" borderId="0" applyAlignment="1" pivotButton="0" quotePrefix="0" xfId="0">
      <alignment horizontal="center"/>
    </xf>
    <xf numFmtId="0" fontId="4" fillId="14" borderId="0" applyAlignment="1" pivotButton="0" quotePrefix="0" xfId="0">
      <alignment horizontal="center"/>
    </xf>
    <xf numFmtId="0" fontId="3" fillId="15" borderId="0" applyAlignment="1" pivotButton="0" quotePrefix="0" xfId="0">
      <alignment horizontal="center"/>
    </xf>
    <xf numFmtId="0" fontId="4" fillId="16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18" borderId="0" applyAlignment="1" pivotButton="0" quotePrefix="0" xfId="0">
      <alignment horizontal="center"/>
    </xf>
    <xf numFmtId="0" fontId="4" fillId="19" borderId="0" applyAlignment="1" pivotButton="0" quotePrefix="0" xfId="0">
      <alignment horizontal="center"/>
    </xf>
    <xf numFmtId="0" fontId="4" fillId="20" borderId="0" applyAlignment="1" pivotButton="0" quotePrefix="0" xfId="0">
      <alignment horizontal="center"/>
    </xf>
    <xf numFmtId="0" fontId="4" fillId="21" borderId="0" applyAlignment="1" pivotButton="0" quotePrefix="0" xfId="0">
      <alignment horizontal="center"/>
    </xf>
    <xf numFmtId="0" fontId="4" fillId="22" borderId="0" applyAlignment="1" pivotButton="0" quotePrefix="0" xfId="0">
      <alignment horizontal="center"/>
    </xf>
    <xf numFmtId="0" fontId="4" fillId="2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Theme Impact: Departments vs Customers (bubble = severity)</a:t>
            </a:r>
          </a:p>
        </rich>
      </tx>
    </title>
    <plotArea>
      <bubbleChart>
        <ser>
          <idx val="0"/>
          <order val="0"/>
          <tx>
            <v>Communication &amp; Updates</v>
          </tx>
          <spPr>
            <a:solidFill>
              <a:srgbClr val="2563EB"/>
            </a:solidFill>
            <a:ln>
              <a:solidFill>
                <a:srgbClr val="2563EB"/>
              </a:solidFill>
              <a:prstDash val="solid"/>
            </a:ln>
          </spPr>
          <xVal>
            <numRef>
              <f>'Theme Bubble Chart'!$B$5</f>
            </numRef>
          </xVal>
          <yVal>
            <numRef>
              <f>'Theme Bubble Chart'!$C$5</f>
            </numRef>
          </yVal>
          <bubbleSize>
            <numRef>
              <f>'Theme Bubble Chart'!$D$5</f>
            </numRef>
          </bubbleSize>
        </ser>
        <ser>
          <idx val="1"/>
          <order val="1"/>
          <tx>
            <v>Timeliness &amp; Wait Times</v>
          </tx>
          <spPr>
            <a:solidFill>
              <a:srgbClr val="DC2626"/>
            </a:solidFill>
            <a:ln>
              <a:solidFill>
                <a:srgbClr val="DC2626"/>
              </a:solidFill>
              <a:prstDash val="solid"/>
            </a:ln>
          </spPr>
          <xVal>
            <numRef>
              <f>'Theme Bubble Chart'!$B$6</f>
            </numRef>
          </xVal>
          <yVal>
            <numRef>
              <f>'Theme Bubble Chart'!$C$6</f>
            </numRef>
          </yVal>
          <bubbleSize>
            <numRef>
              <f>'Theme Bubble Chart'!$D$6</f>
            </numRef>
          </bubbleSize>
        </ser>
        <ser>
          <idx val="2"/>
          <order val="2"/>
          <tx>
            <v>Repair &amp; Service Quality</v>
          </tx>
          <spPr>
            <a:solidFill>
              <a:srgbClr val="D97706"/>
            </a:solidFill>
            <a:ln>
              <a:solidFill>
                <a:srgbClr val="D97706"/>
              </a:solidFill>
              <a:prstDash val="solid"/>
            </a:ln>
          </spPr>
          <xVal>
            <numRef>
              <f>'Theme Bubble Chart'!$B$7</f>
            </numRef>
          </xVal>
          <yVal>
            <numRef>
              <f>'Theme Bubble Chart'!$C$7</f>
            </numRef>
          </yVal>
          <bubbleSize>
            <numRef>
              <f>'Theme Bubble Chart'!$D$7</f>
            </numRef>
          </bubbleSize>
        </ser>
        <ser>
          <idx val="3"/>
          <order val="3"/>
          <tx>
            <v>Pricing &amp; Charges</v>
          </tx>
          <spPr>
            <a:solidFill>
              <a:srgbClr val="059669"/>
            </a:solidFill>
            <a:ln>
              <a:solidFill>
                <a:srgbClr val="059669"/>
              </a:solidFill>
              <a:prstDash val="solid"/>
            </a:ln>
          </spPr>
          <xVal>
            <numRef>
              <f>'Theme Bubble Chart'!$B$8</f>
            </numRef>
          </xVal>
          <yVal>
            <numRef>
              <f>'Theme Bubble Chart'!$C$8</f>
            </numRef>
          </yVal>
          <bubbleSize>
            <numRef>
              <f>'Theme Bubble Chart'!$D$8</f>
            </numRef>
          </bubbleSize>
        </ser>
        <ser>
          <idx val="4"/>
          <order val="4"/>
          <tx>
            <v>Parts Availability &amp; Delays</v>
          </tx>
          <spPr>
            <a:solidFill>
              <a:srgbClr val="7C3AED"/>
            </a:solidFill>
            <a:ln>
              <a:solidFill>
                <a:srgbClr val="7C3AED"/>
              </a:solidFill>
              <a:prstDash val="solid"/>
            </a:ln>
          </spPr>
          <xVal>
            <numRef>
              <f>'Theme Bubble Chart'!$B$9</f>
            </numRef>
          </xVal>
          <yVal>
            <numRef>
              <f>'Theme Bubble Chart'!$C$9</f>
            </numRef>
          </yVal>
          <bubbleSize>
            <numRef>
              <f>'Theme Bubble Chart'!$D$9</f>
            </numRef>
          </bubbleSize>
        </ser>
        <ser>
          <idx val="5"/>
          <order val="5"/>
          <tx>
            <v>Staff Attitude &amp; Behaviour</v>
          </tx>
          <spPr>
            <a:solidFill>
              <a:srgbClr val="DB2777"/>
            </a:solidFill>
            <a:ln>
              <a:solidFill>
                <a:srgbClr val="DB2777"/>
              </a:solidFill>
              <a:prstDash val="solid"/>
            </a:ln>
          </spPr>
          <xVal>
            <numRef>
              <f>'Theme Bubble Chart'!$B$10</f>
            </numRef>
          </xVal>
          <yVal>
            <numRef>
              <f>'Theme Bubble Chart'!$C$10</f>
            </numRef>
          </yVal>
          <bubbleSize>
            <numRef>
              <f>'Theme Bubble Chart'!$D$10</f>
            </numRef>
          </bubbleSize>
        </ser>
        <ser>
          <idx val="6"/>
          <order val="6"/>
          <tx>
            <v>Booking &amp; Scheduling</v>
          </tx>
          <spPr>
            <a:solidFill>
              <a:srgbClr val="0891B2"/>
            </a:solidFill>
            <a:ln>
              <a:solidFill>
                <a:srgbClr val="0891B2"/>
              </a:solidFill>
              <a:prstDash val="solid"/>
            </a:ln>
          </spPr>
          <xVal>
            <numRef>
              <f>'Theme Bubble Chart'!$B$11</f>
            </numRef>
          </xVal>
          <yVal>
            <numRef>
              <f>'Theme Bubble Chart'!$C$11</f>
            </numRef>
          </yVal>
          <bubbleSize>
            <numRef>
              <f>'Theme Bubble Chart'!$D$11</f>
            </numRef>
          </bubbleSize>
        </ser>
        <ser>
          <idx val="7"/>
          <order val="7"/>
          <tx>
            <v>Safety Concern</v>
          </tx>
          <spPr>
            <a:solidFill>
              <a:srgbClr val="CA8A04"/>
            </a:solidFill>
            <a:ln>
              <a:solidFill>
                <a:srgbClr val="CA8A04"/>
              </a:solidFill>
              <a:prstDash val="solid"/>
            </a:ln>
          </spPr>
          <xVal>
            <numRef>
              <f>'Theme Bubble Chart'!$B$12</f>
            </numRef>
          </xVal>
          <yVal>
            <numRef>
              <f>'Theme Bubble Chart'!$C$12</f>
            </numRef>
          </yVal>
          <bubbleSize>
            <numRef>
              <f>'Theme Bubble Chart'!$D$12</f>
            </numRef>
          </bubbleSize>
        </ser>
        <ser>
          <idx val="8"/>
          <order val="8"/>
          <tx>
            <v>Facilities &amp; Amenities</v>
          </tx>
          <spPr>
            <a:solidFill>
              <a:srgbClr val="4F46E5"/>
            </a:solidFill>
            <a:ln>
              <a:solidFill>
                <a:srgbClr val="4F46E5"/>
              </a:solidFill>
              <a:prstDash val="solid"/>
            </a:ln>
          </spPr>
          <xVal>
            <numRef>
              <f>'Theme Bubble Chart'!$B$13</f>
            </numRef>
          </xVal>
          <yVal>
            <numRef>
              <f>'Theme Bubble Chart'!$C$13</f>
            </numRef>
          </yVal>
          <bubbleSize>
            <numRef>
              <f>'Theme Bubble Chart'!$D$13</f>
            </numRef>
          </bubbleSize>
        </ser>
        <ser>
          <idx val="9"/>
          <order val="9"/>
          <tx>
            <v>Sales Process &amp; Handover</v>
          </tx>
          <spPr>
            <a:solidFill>
              <a:srgbClr val="BE123C"/>
            </a:solidFill>
            <a:ln>
              <a:solidFill>
                <a:srgbClr val="BE123C"/>
              </a:solidFill>
              <a:prstDash val="solid"/>
            </a:ln>
          </spPr>
          <xVal>
            <numRef>
              <f>'Theme Bubble Chart'!$B$14</f>
            </numRef>
          </xVal>
          <yVal>
            <numRef>
              <f>'Theme Bubble Chart'!$C$14</f>
            </numRef>
          </yVal>
          <bubbleSize>
            <numRef>
              <f>'Theme Bubble Chart'!$D$14</f>
            </numRef>
          </bubbleSize>
        </ser>
        <ser>
          <idx val="10"/>
          <order val="10"/>
          <tx>
            <v>Vehicle Knowledge &amp; Explanation</v>
          </tx>
          <spPr>
            <a:solidFill>
              <a:srgbClr val="0D9488"/>
            </a:solidFill>
            <a:ln>
              <a:solidFill>
                <a:srgbClr val="0D9488"/>
              </a:solidFill>
              <a:prstDash val="solid"/>
            </a:ln>
          </spPr>
          <xVal>
            <numRef>
              <f>'Theme Bubble Chart'!$B$15</f>
            </numRef>
          </xVal>
          <yVal>
            <numRef>
              <f>'Theme Bubble Chart'!$C$15</f>
            </numRef>
          </yVal>
          <bubbleSize>
            <numRef>
              <f>'Theme Bubble Chart'!$D$15</f>
            </numRef>
          </bubbleSize>
        </ser>
        <ser>
          <idx val="11"/>
          <order val="11"/>
          <tx>
            <v>Positive Experience (General)</v>
          </tx>
          <spPr>
            <a:solidFill>
              <a:srgbClr val="2563EB"/>
            </a:solidFill>
            <a:ln>
              <a:solidFill>
                <a:srgbClr val="2563EB"/>
              </a:solidFill>
              <a:prstDash val="solid"/>
            </a:ln>
          </spPr>
          <xVal>
            <numRef>
              <f>'Theme Bubble Chart'!$B$16</f>
            </numRef>
          </xVal>
          <yVal>
            <numRef>
              <f>'Theme Bubble Chart'!$C$16</f>
            </numRef>
          </yVal>
          <bubbleSize>
            <numRef>
              <f>'Theme Bubble Chart'!$D$16</f>
            </numRef>
          </bubbleSize>
        </ser>
        <ser>
          <idx val="12"/>
          <order val="12"/>
          <tx>
            <v>Insufficient / Unclear</v>
          </tx>
          <spPr>
            <a:solidFill>
              <a:srgbClr val="DC2626"/>
            </a:solidFill>
            <a:ln>
              <a:solidFill>
                <a:srgbClr val="DC2626"/>
              </a:solidFill>
              <a:prstDash val="solid"/>
            </a:ln>
          </spPr>
          <xVal>
            <numRef>
              <f>'Theme Bubble Chart'!$B$17</f>
            </numRef>
          </xVal>
          <yVal>
            <numRef>
              <f>'Theme Bubble Chart'!$C$17</f>
            </numRef>
          </yVal>
          <bubbleSize>
            <numRef>
              <f>'Theme Bubble Chart'!$D$17</f>
            </numRef>
          </bubbleSize>
        </ser>
        <axId val="10"/>
        <axId val="20"/>
      </bubble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Departments Impacted</a:t>
                </a:r>
              </a:p>
            </rich>
          </tx>
          <layout>
            <manualLayout>
              <wMode val="factor"/>
              <hMode val="factor"/>
              <y val="0.98"/>
            </manualLayout>
          </layout>
        </title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Customers Impacted</a:t>
                </a:r>
              </a:p>
            </rich>
          </tx>
          <layout>
            <manualLayout>
              <wMode val="factor"/>
              <hMode val="factor"/>
              <x val="0.01"/>
            </manualLayout>
          </layout>
        </title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Sentiment Breakdown by Dealership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'Sentiment by Dealership'!B4</f>
            </strRef>
          </tx>
          <spPr>
            <a:solidFill>
              <a:srgbClr val="059669"/>
            </a:solidFill>
            <a:ln>
              <a:solidFill>
                <a:srgbClr val="059669"/>
              </a:solidFill>
              <a:prstDash val="solid"/>
            </a:ln>
          </spPr>
          <cat>
            <numRef>
              <f>'Sentiment by Dealership'!$A$5:$A$28</f>
            </numRef>
          </cat>
          <val>
            <numRef>
              <f>'Sentiment by Dealership'!$B$5:$B$28</f>
            </numRef>
          </val>
        </ser>
        <ser>
          <idx val="1"/>
          <order val="1"/>
          <tx>
            <strRef>
              <f>'Sentiment by Dealership'!C4</f>
            </strRef>
          </tx>
          <spPr>
            <a:solidFill>
              <a:srgbClr val="9CA3AF"/>
            </a:solidFill>
            <a:ln>
              <a:solidFill>
                <a:srgbClr val="9CA3AF"/>
              </a:solidFill>
              <a:prstDash val="solid"/>
            </a:ln>
          </spPr>
          <cat>
            <numRef>
              <f>'Sentiment by Dealership'!$A$5:$A$28</f>
            </numRef>
          </cat>
          <val>
            <numRef>
              <f>'Sentiment by Dealership'!$C$5:$C$28</f>
            </numRef>
          </val>
        </ser>
        <ser>
          <idx val="2"/>
          <order val="2"/>
          <tx>
            <strRef>
              <f>'Sentiment by Dealership'!D4</f>
            </strRef>
          </tx>
          <spPr>
            <a:solidFill>
              <a:srgbClr val="D97706"/>
            </a:solidFill>
            <a:ln>
              <a:solidFill>
                <a:srgbClr val="D97706"/>
              </a:solidFill>
              <a:prstDash val="solid"/>
            </a:ln>
          </spPr>
          <cat>
            <numRef>
              <f>'Sentiment by Dealership'!$A$5:$A$28</f>
            </numRef>
          </cat>
          <val>
            <numRef>
              <f>'Sentiment by Dealership'!$D$5:$D$28</f>
            </numRef>
          </val>
        </ser>
        <ser>
          <idx val="3"/>
          <order val="3"/>
          <tx>
            <strRef>
              <f>'Sentiment by Dealership'!E4</f>
            </strRef>
          </tx>
          <spPr>
            <a:solidFill>
              <a:srgbClr val="DC2626"/>
            </a:solidFill>
            <a:ln>
              <a:solidFill>
                <a:srgbClr val="DC2626"/>
              </a:solidFill>
              <a:prstDash val="solid"/>
            </a:ln>
          </spPr>
          <cat>
            <numRef>
              <f>'Sentiment by Dealership'!$A$5:$A$28</f>
            </numRef>
          </cat>
          <val>
            <numRef>
              <f>'Sentiment by Dealership'!$E$5:$E$28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Number of Reviews</a:t>
                </a:r>
              </a:p>
            </rich>
          </tx>
          <layout>
            <manualLayout>
              <wMode val="factor"/>
              <hMode val="factor"/>
              <y val="0.98"/>
            </manualLayout>
          </layout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Dealership</a:t>
                </a:r>
              </a:p>
            </rich>
          </tx>
          <layout>
            <manualLayout>
              <wMode val="factor"/>
              <hMode val="factor"/>
              <x val="0.01"/>
            </manualLayout>
          </layout>
        </title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Issue Trends by Theme</a:t>
            </a:r>
          </a:p>
        </rich>
      </tx>
    </title>
    <plotArea>
      <lineChart>
        <grouping val="standard"/>
        <ser>
          <idx val="0"/>
          <order val="0"/>
          <tx>
            <strRef>
              <f>'Theme Trends'!B4</f>
            </strRef>
          </tx>
          <spPr>
            <a:ln w="22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Trends'!$B$5:$B$19</f>
            </numRef>
          </val>
          <smooth val="0"/>
        </ser>
        <ser>
          <idx val="1"/>
          <order val="1"/>
          <tx>
            <strRef>
              <f>'Theme Trends'!C4</f>
            </strRef>
          </tx>
          <spPr>
            <a:ln w="22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Trends'!$C$5:$C$19</f>
            </numRef>
          </val>
          <smooth val="0"/>
        </ser>
        <ser>
          <idx val="2"/>
          <order val="2"/>
          <tx>
            <strRef>
              <f>'Theme Trends'!D4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Trends'!$D$5:$D$19</f>
            </numRef>
          </val>
          <smooth val="0"/>
        </ser>
        <ser>
          <idx val="3"/>
          <order val="3"/>
          <tx>
            <strRef>
              <f>'Theme Trends'!E4</f>
            </strRef>
          </tx>
          <spPr>
            <a:ln w="22000">
              <a:solidFill>
                <a:srgbClr val="0596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Trends'!$E$5:$E$19</f>
            </numRef>
          </val>
          <smooth val="0"/>
        </ser>
        <ser>
          <idx val="4"/>
          <order val="4"/>
          <tx>
            <strRef>
              <f>'Theme Trends'!F4</f>
            </strRef>
          </tx>
          <spPr>
            <a:ln w="22000">
              <a:solidFill>
                <a:srgbClr val="7C3AE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Trends'!$F$5:$F$19</f>
            </numRef>
          </val>
          <smooth val="0"/>
        </ser>
        <ser>
          <idx val="5"/>
          <order val="5"/>
          <tx>
            <strRef>
              <f>'Theme Trends'!G4</f>
            </strRef>
          </tx>
          <spPr>
            <a:ln w="22000">
              <a:solidFill>
                <a:srgbClr val="DB2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Trends'!$G$5:$G$19</f>
            </numRef>
          </val>
          <smooth val="0"/>
        </ser>
        <ser>
          <idx val="6"/>
          <order val="6"/>
          <tx>
            <strRef>
              <f>'Theme Trends'!H4</f>
            </strRef>
          </tx>
          <spPr>
            <a:ln w="22000">
              <a:solidFill>
                <a:srgbClr val="0891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Trends'!$H$5:$H$19</f>
            </numRef>
          </val>
          <smooth val="0"/>
        </ser>
        <ser>
          <idx val="7"/>
          <order val="7"/>
          <tx>
            <strRef>
              <f>'Theme Trends'!I4</f>
            </strRef>
          </tx>
          <spPr>
            <a:ln w="22000">
              <a:solidFill>
                <a:srgbClr val="CA8A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'Theme Trends'!$A$5:$A$19</f>
            </numRef>
          </cat>
          <val>
            <numRef>
              <f>'Theme Trends'!$I$5:$I$19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  <layout>
            <manualLayout>
              <wMode val="factor"/>
              <hMode val="factor"/>
              <y val="0.98"/>
            </manualLayout>
          </layout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Issue Count</a:t>
                </a:r>
              </a:p>
            </rich>
          </tx>
          <layout>
            <manualLayout>
              <wMode val="factor"/>
              <hMode val="factor"/>
              <x val="0.01"/>
            </manualLayout>
          </layout>
        </title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Issue Severity by Department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'Severity Analysis'!B4</f>
            </strRef>
          </tx>
          <spPr>
            <a:solidFill>
              <a:srgbClr val="9CA3AF"/>
            </a:solidFill>
            <a:ln>
              <a:solidFill>
                <a:srgbClr val="9CA3AF"/>
              </a:solidFill>
              <a:prstDash val="solid"/>
            </a:ln>
          </spPr>
          <cat>
            <numRef>
              <f>'Severity Analysis'!$A$5:$A$8</f>
            </numRef>
          </cat>
          <val>
            <numRef>
              <f>'Severity Analysis'!$B$5:$B$8</f>
            </numRef>
          </val>
        </ser>
        <ser>
          <idx val="1"/>
          <order val="1"/>
          <tx>
            <strRef>
              <f>'Severity Analysis'!C4</f>
            </strRef>
          </tx>
          <spPr>
            <a:solidFill>
              <a:srgbClr val="D97706"/>
            </a:solidFill>
            <a:ln>
              <a:solidFill>
                <a:srgbClr val="D97706"/>
              </a:solidFill>
              <a:prstDash val="solid"/>
            </a:ln>
          </spPr>
          <cat>
            <numRef>
              <f>'Severity Analysis'!$A$5:$A$8</f>
            </numRef>
          </cat>
          <val>
            <numRef>
              <f>'Severity Analysis'!$C$5:$C$8</f>
            </numRef>
          </val>
        </ser>
        <ser>
          <idx val="2"/>
          <order val="2"/>
          <tx>
            <strRef>
              <f>'Severity Analysis'!D4</f>
            </strRef>
          </tx>
          <spPr>
            <a:solidFill>
              <a:srgbClr val="DC2626"/>
            </a:solidFill>
            <a:ln>
              <a:solidFill>
                <a:srgbClr val="DC2626"/>
              </a:solidFill>
              <a:prstDash val="solid"/>
            </a:ln>
          </spPr>
          <cat>
            <numRef>
              <f>'Severity Analysis'!$A$5:$A$8</f>
            </numRef>
          </cat>
          <val>
            <numRef>
              <f>'Severity Analysis'!$D$5:$D$8</f>
            </numRef>
          </val>
        </ser>
        <ser>
          <idx val="3"/>
          <order val="3"/>
          <tx>
            <strRef>
              <f>'Severity Analysis'!E4</f>
            </strRef>
          </tx>
          <spPr>
            <a:solidFill>
              <a:srgbClr val="7F1D1D"/>
            </a:solidFill>
            <a:ln>
              <a:solidFill>
                <a:srgbClr val="7F1D1D"/>
              </a:solidFill>
              <a:prstDash val="solid"/>
            </a:ln>
          </spPr>
          <cat>
            <numRef>
              <f>'Severity Analysis'!$A$5:$A$8</f>
            </numRef>
          </cat>
          <val>
            <numRef>
              <f>'Severity Analysis'!$E$5:$E$8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Department</a:t>
                </a:r>
              </a:p>
            </rich>
          </tx>
          <layout>
            <manualLayout>
              <wMode val="factor"/>
              <hMode val="factor"/>
              <y val="0.98"/>
            </manualLayout>
          </layout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Issue Count</a:t>
                </a:r>
              </a:p>
            </rich>
          </tx>
          <layout>
            <manualLayout>
              <wMode val="factor"/>
              <hMode val="factor"/>
              <x val="0.01"/>
            </manualLayout>
          </layout>
        </title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Feedback Volume &amp; Negative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Summary'!B4</f>
            </strRef>
          </tx>
          <spPr>
            <a:solidFill>
              <a:srgbClr val="2563EB"/>
            </a:solidFill>
            <a:ln>
              <a:solidFill>
                <a:srgbClr val="2563EB"/>
              </a:solidFill>
              <a:prstDash val="solid"/>
            </a:ln>
          </spPr>
          <cat>
            <numRef>
              <f>'Monthly Summary'!$A$5:$A$19</f>
            </numRef>
          </cat>
          <val>
            <numRef>
              <f>'Monthly Summary'!$B$5:$B$19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'Monthly Summary'!G4</f>
            </strRef>
          </tx>
          <spPr>
            <a:ln w="28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Summary'!$A$5:$A$19</f>
            </numRef>
          </cat>
          <val>
            <numRef>
              <f>'Monthly Summary'!$G$5:$G$19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Review Count</a:t>
                </a:r>
              </a:p>
            </rich>
          </tx>
          <layout>
            <manualLayout>
              <wMode val="factor"/>
              <hMode val="factor"/>
              <x val="0.01"/>
            </manualLayout>
          </layout>
        </title>
        <majorTickMark val="none"/>
        <minorTickMark val="none"/>
        <tickLblPos val="low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Negative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10080000" cy="6047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20" customWidth="1" min="3" max="3"/>
    <col width="14" customWidth="1" min="4" max="4"/>
    <col width="14" customWidth="1" min="5" max="5"/>
    <col width="21" customWidth="1" min="6" max="6"/>
  </cols>
  <sheetData>
    <row r="1">
      <c r="A1" s="1" t="inlineStr">
        <is>
          <t>Negative Feedback: Theme Impact Analysis</t>
        </is>
      </c>
    </row>
    <row r="2">
      <c r="A2" s="2" t="inlineStr">
        <is>
          <t>Each bubble = one theme.  Size = avg severity.  Position = reach across customers &amp; departments.</t>
        </is>
      </c>
    </row>
    <row r="3"/>
    <row r="4">
      <c r="A4" s="3" t="inlineStr">
        <is>
          <t>Theme</t>
        </is>
      </c>
      <c r="B4" s="3" t="inlineStr">
        <is>
          <t>Departments Impacted</t>
        </is>
      </c>
      <c r="C4" s="3" t="inlineStr">
        <is>
          <t>Customers Impacted</t>
        </is>
      </c>
      <c r="D4" s="3" t="inlineStr">
        <is>
          <t>Avg Severity</t>
        </is>
      </c>
      <c r="E4" s="3" t="inlineStr">
        <is>
          <t>Total Issues</t>
        </is>
      </c>
      <c r="F4" s="3" t="inlineStr">
        <is>
          <t>Critical+High Count</t>
        </is>
      </c>
    </row>
    <row r="5">
      <c r="A5" s="4" t="inlineStr">
        <is>
          <t>Communication &amp; Updates</t>
        </is>
      </c>
      <c r="B5" s="4" t="n">
        <v>4</v>
      </c>
      <c r="C5" s="4" t="n">
        <v>779</v>
      </c>
      <c r="D5" s="4" t="n">
        <v>2.27</v>
      </c>
      <c r="E5" s="4" t="n">
        <v>855</v>
      </c>
      <c r="F5" s="4" t="n">
        <v>255</v>
      </c>
    </row>
    <row r="6">
      <c r="A6" s="4" t="inlineStr">
        <is>
          <t>Timeliness &amp; Wait Times</t>
        </is>
      </c>
      <c r="B6" s="4" t="n">
        <v>4</v>
      </c>
      <c r="C6" s="4" t="n">
        <v>409</v>
      </c>
      <c r="D6" s="4" t="n">
        <v>2.08</v>
      </c>
      <c r="E6" s="4" t="n">
        <v>425</v>
      </c>
      <c r="F6" s="4" t="n">
        <v>68</v>
      </c>
    </row>
    <row r="7">
      <c r="A7" s="4" t="inlineStr">
        <is>
          <t>Repair &amp; Service Quality</t>
        </is>
      </c>
      <c r="B7" s="4" t="n">
        <v>3</v>
      </c>
      <c r="C7" s="4" t="n">
        <v>348</v>
      </c>
      <c r="D7" s="4" t="n">
        <v>2.81</v>
      </c>
      <c r="E7" s="4" t="n">
        <v>377</v>
      </c>
      <c r="F7" s="4" t="n">
        <v>286</v>
      </c>
    </row>
    <row r="8">
      <c r="A8" s="4" t="inlineStr">
        <is>
          <t>Pricing &amp; Charges</t>
        </is>
      </c>
      <c r="B8" s="4" t="n">
        <v>4</v>
      </c>
      <c r="C8" s="4" t="n">
        <v>360</v>
      </c>
      <c r="D8" s="4" t="n">
        <v>2.69</v>
      </c>
      <c r="E8" s="4" t="n">
        <v>367</v>
      </c>
      <c r="F8" s="4" t="n">
        <v>252</v>
      </c>
    </row>
    <row r="9">
      <c r="A9" s="4" t="inlineStr">
        <is>
          <t>Parts Availability &amp; Delays</t>
        </is>
      </c>
      <c r="B9" s="4" t="n">
        <v>3</v>
      </c>
      <c r="C9" s="4" t="n">
        <v>275</v>
      </c>
      <c r="D9" s="4" t="n">
        <v>2.31</v>
      </c>
      <c r="E9" s="4" t="n">
        <v>299</v>
      </c>
      <c r="F9" s="4" t="n">
        <v>97</v>
      </c>
    </row>
    <row r="10">
      <c r="A10" s="4" t="inlineStr">
        <is>
          <t>Staff Attitude &amp; Behaviour</t>
        </is>
      </c>
      <c r="B10" s="4" t="n">
        <v>4</v>
      </c>
      <c r="C10" s="4" t="n">
        <v>215</v>
      </c>
      <c r="D10" s="4" t="n">
        <v>2.52</v>
      </c>
      <c r="E10" s="4" t="n">
        <v>221</v>
      </c>
      <c r="F10" s="4" t="n">
        <v>117</v>
      </c>
    </row>
    <row r="11">
      <c r="A11" s="4" t="inlineStr">
        <is>
          <t>Booking &amp; Scheduling</t>
        </is>
      </c>
      <c r="B11" s="4" t="n">
        <v>2</v>
      </c>
      <c r="C11" s="4" t="n">
        <v>201</v>
      </c>
      <c r="D11" s="4" t="n">
        <v>2.39</v>
      </c>
      <c r="E11" s="4" t="n">
        <v>217</v>
      </c>
      <c r="F11" s="4" t="n">
        <v>85</v>
      </c>
    </row>
    <row r="12">
      <c r="A12" s="4" t="inlineStr">
        <is>
          <t>Safety Concern</t>
        </is>
      </c>
      <c r="B12" s="4" t="n">
        <v>3</v>
      </c>
      <c r="C12" s="4" t="n">
        <v>131</v>
      </c>
      <c r="D12" s="4" t="n">
        <v>4</v>
      </c>
      <c r="E12" s="4" t="n">
        <v>131</v>
      </c>
      <c r="F12" s="4" t="n">
        <v>131</v>
      </c>
    </row>
    <row r="13">
      <c r="A13" s="4" t="inlineStr">
        <is>
          <t>Facilities &amp; Amenities</t>
        </is>
      </c>
      <c r="B13" s="4" t="n">
        <v>2</v>
      </c>
      <c r="C13" s="4" t="n">
        <v>94</v>
      </c>
      <c r="D13" s="4" t="n">
        <v>1.35</v>
      </c>
      <c r="E13" s="4" t="n">
        <v>127</v>
      </c>
      <c r="F13" s="4" t="n">
        <v>3</v>
      </c>
    </row>
    <row r="14">
      <c r="A14" s="4" t="inlineStr">
        <is>
          <t>Sales Process &amp; Handover</t>
        </is>
      </c>
      <c r="B14" s="4" t="n">
        <v>1</v>
      </c>
      <c r="C14" s="4" t="n">
        <v>100</v>
      </c>
      <c r="D14" s="4" t="n">
        <v>2.59</v>
      </c>
      <c r="E14" s="4" t="n">
        <v>104</v>
      </c>
      <c r="F14" s="4" t="n">
        <v>60</v>
      </c>
    </row>
    <row r="15">
      <c r="A15" s="4" t="inlineStr">
        <is>
          <t>Vehicle Knowledge &amp; Explanation</t>
        </is>
      </c>
      <c r="B15" s="4" t="n">
        <v>2</v>
      </c>
      <c r="C15" s="4" t="n">
        <v>91</v>
      </c>
      <c r="D15" s="4" t="n">
        <v>2.07</v>
      </c>
      <c r="E15" s="4" t="n">
        <v>91</v>
      </c>
      <c r="F15" s="4" t="n">
        <v>13</v>
      </c>
    </row>
    <row r="16">
      <c r="A16" s="4" t="inlineStr">
        <is>
          <t>Positive Experience (General)</t>
        </is>
      </c>
      <c r="B16" s="4" t="n">
        <v>3</v>
      </c>
      <c r="C16" s="4" t="n">
        <v>15</v>
      </c>
      <c r="D16" s="4" t="n">
        <v>1.67</v>
      </c>
      <c r="E16" s="4" t="n">
        <v>15</v>
      </c>
      <c r="F16" s="4" t="n">
        <v>3</v>
      </c>
    </row>
    <row r="17">
      <c r="A17" s="4" t="inlineStr">
        <is>
          <t>Insufficient / Unclear</t>
        </is>
      </c>
      <c r="B17" s="4" t="n">
        <v>2</v>
      </c>
      <c r="C17" s="4" t="n">
        <v>8</v>
      </c>
      <c r="D17" s="4" t="n">
        <v>1.12</v>
      </c>
      <c r="E17" s="4" t="n">
        <v>8</v>
      </c>
      <c r="F17" s="4" t="n">
        <v>0</v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DC2626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21" customWidth="1" min="7" max="7"/>
  </cols>
  <sheetData>
    <row r="1">
      <c r="A1" s="1" t="inlineStr">
        <is>
          <t>Sentiment Distribution by Dealership</t>
        </is>
      </c>
    </row>
    <row r="2">
      <c r="A2" s="2" t="inlineStr">
        <is>
          <t>Sorted by % negative feedback.</t>
        </is>
      </c>
    </row>
    <row r="3"/>
    <row r="4">
      <c r="A4" s="3" t="inlineStr">
        <is>
          <t>Dealership</t>
        </is>
      </c>
      <c r="B4" s="3" t="inlineStr">
        <is>
          <t>Positive</t>
        </is>
      </c>
      <c r="C4" s="3" t="inlineStr">
        <is>
          <t>Neutral</t>
        </is>
      </c>
      <c r="D4" s="3" t="inlineStr">
        <is>
          <t>Mixed</t>
        </is>
      </c>
      <c r="E4" s="3" t="inlineStr">
        <is>
          <t>Negative</t>
        </is>
      </c>
      <c r="F4" s="3" t="inlineStr">
        <is>
          <t>Total</t>
        </is>
      </c>
      <c r="G4" s="3" t="inlineStr">
        <is>
          <t>Negative %</t>
        </is>
      </c>
    </row>
    <row r="5">
      <c r="A5" s="4" t="inlineStr">
        <is>
          <t>Dandenong</t>
        </is>
      </c>
      <c r="B5" s="4" t="n">
        <v>183</v>
      </c>
      <c r="C5" s="4" t="n">
        <v>1</v>
      </c>
      <c r="D5" s="4" t="n">
        <v>40</v>
      </c>
      <c r="E5" s="4" t="n">
        <v>148</v>
      </c>
      <c r="F5" s="4" t="n">
        <v>372</v>
      </c>
      <c r="G5" s="5" t="n">
        <v>0.3978494623655914</v>
      </c>
    </row>
    <row r="6">
      <c r="A6" s="4" t="inlineStr">
        <is>
          <t>Parramatta</t>
        </is>
      </c>
      <c r="B6" s="4" t="n">
        <v>181</v>
      </c>
      <c r="C6" s="4" t="n">
        <v>2</v>
      </c>
      <c r="D6" s="4" t="n">
        <v>36</v>
      </c>
      <c r="E6" s="4" t="n">
        <v>142</v>
      </c>
      <c r="F6" s="4" t="n">
        <v>361</v>
      </c>
      <c r="G6" s="5" t="n">
        <v>0.3933518005540166</v>
      </c>
    </row>
    <row r="7">
      <c r="A7" s="4" t="inlineStr">
        <is>
          <t>Rockhampton</t>
        </is>
      </c>
      <c r="B7" s="4" t="n">
        <v>69</v>
      </c>
      <c r="C7" s="4" t="n">
        <v>1</v>
      </c>
      <c r="D7" s="4" t="n">
        <v>25</v>
      </c>
      <c r="E7" s="4" t="n">
        <v>61</v>
      </c>
      <c r="F7" s="4" t="n">
        <v>156</v>
      </c>
      <c r="G7" s="5" t="n">
        <v>0.391025641025641</v>
      </c>
    </row>
    <row r="8">
      <c r="A8" s="4" t="inlineStr">
        <is>
          <t>Essendon</t>
        </is>
      </c>
      <c r="B8" s="4" t="n">
        <v>136</v>
      </c>
      <c r="C8" s="4" t="n">
        <v>0</v>
      </c>
      <c r="D8" s="4" t="n">
        <v>30</v>
      </c>
      <c r="E8" s="4" t="n">
        <v>102</v>
      </c>
      <c r="F8" s="4" t="n">
        <v>268</v>
      </c>
      <c r="G8" s="5" t="n">
        <v>0.3805970149253731</v>
      </c>
    </row>
    <row r="9">
      <c r="A9" s="4" t="inlineStr">
        <is>
          <t>Townsville</t>
        </is>
      </c>
      <c r="B9" s="4" t="n">
        <v>133</v>
      </c>
      <c r="C9" s="4" t="n">
        <v>0</v>
      </c>
      <c r="D9" s="4" t="n">
        <v>34</v>
      </c>
      <c r="E9" s="4" t="n">
        <v>94</v>
      </c>
      <c r="F9" s="4" t="n">
        <v>261</v>
      </c>
      <c r="G9" s="5" t="n">
        <v>0.3601532567049808</v>
      </c>
    </row>
    <row r="10">
      <c r="A10" s="4" t="inlineStr">
        <is>
          <t>Chatswood</t>
        </is>
      </c>
      <c r="B10" s="4" t="n">
        <v>122</v>
      </c>
      <c r="C10" s="4" t="n">
        <v>0</v>
      </c>
      <c r="D10" s="4" t="n">
        <v>23</v>
      </c>
      <c r="E10" s="4" t="n">
        <v>76</v>
      </c>
      <c r="F10" s="4" t="n">
        <v>221</v>
      </c>
      <c r="G10" s="5" t="n">
        <v>0.3438914027149321</v>
      </c>
    </row>
    <row r="11">
      <c r="A11" s="4" t="inlineStr">
        <is>
          <t>Southport</t>
        </is>
      </c>
      <c r="B11" s="4" t="n">
        <v>102</v>
      </c>
      <c r="C11" s="4" t="n">
        <v>2</v>
      </c>
      <c r="D11" s="4" t="n">
        <v>27</v>
      </c>
      <c r="E11" s="4" t="n">
        <v>68</v>
      </c>
      <c r="F11" s="4" t="n">
        <v>199</v>
      </c>
      <c r="G11" s="5" t="n">
        <v>0.3417085427135678</v>
      </c>
    </row>
    <row r="12">
      <c r="A12" s="4" t="inlineStr">
        <is>
          <t>Chermside</t>
        </is>
      </c>
      <c r="B12" s="4" t="n">
        <v>179</v>
      </c>
      <c r="C12" s="4" t="n">
        <v>0</v>
      </c>
      <c r="D12" s="4" t="n">
        <v>52</v>
      </c>
      <c r="E12" s="4" t="n">
        <v>119</v>
      </c>
      <c r="F12" s="4" t="n">
        <v>350</v>
      </c>
      <c r="G12" s="5" t="n">
        <v>0.34</v>
      </c>
    </row>
    <row r="13">
      <c r="A13" s="4" t="inlineStr">
        <is>
          <t>Geelong</t>
        </is>
      </c>
      <c r="B13" s="4" t="n">
        <v>119</v>
      </c>
      <c r="C13" s="4" t="n">
        <v>0</v>
      </c>
      <c r="D13" s="4" t="n">
        <v>34</v>
      </c>
      <c r="E13" s="4" t="n">
        <v>78</v>
      </c>
      <c r="F13" s="4" t="n">
        <v>231</v>
      </c>
      <c r="G13" s="5" t="n">
        <v>0.3376623376623377</v>
      </c>
    </row>
    <row r="14">
      <c r="A14" s="4" t="inlineStr">
        <is>
          <t>Ipswich</t>
        </is>
      </c>
      <c r="B14" s="4" t="n">
        <v>120</v>
      </c>
      <c r="C14" s="4" t="n">
        <v>1</v>
      </c>
      <c r="D14" s="4" t="n">
        <v>16</v>
      </c>
      <c r="E14" s="4" t="n">
        <v>68</v>
      </c>
      <c r="F14" s="4" t="n">
        <v>205</v>
      </c>
      <c r="G14" s="5" t="n">
        <v>0.3317073170731707</v>
      </c>
    </row>
    <row r="15">
      <c r="A15" s="4" t="inlineStr">
        <is>
          <t>Frankston</t>
        </is>
      </c>
      <c r="B15" s="4" t="n">
        <v>132</v>
      </c>
      <c r="C15" s="4" t="n">
        <v>0</v>
      </c>
      <c r="D15" s="4" t="n">
        <v>24</v>
      </c>
      <c r="E15" s="4" t="n">
        <v>77</v>
      </c>
      <c r="F15" s="4" t="n">
        <v>233</v>
      </c>
      <c r="G15" s="5" t="n">
        <v>0.3304721030042919</v>
      </c>
    </row>
    <row r="16">
      <c r="A16" s="4" t="inlineStr">
        <is>
          <t>Toowoomba</t>
        </is>
      </c>
      <c r="B16" s="4" t="n">
        <v>99</v>
      </c>
      <c r="C16" s="4" t="n">
        <v>1</v>
      </c>
      <c r="D16" s="4" t="n">
        <v>27</v>
      </c>
      <c r="E16" s="4" t="n">
        <v>62</v>
      </c>
      <c r="F16" s="4" t="n">
        <v>189</v>
      </c>
      <c r="G16" s="5" t="n">
        <v>0.328042328042328</v>
      </c>
    </row>
    <row r="17">
      <c r="A17" s="4" t="inlineStr">
        <is>
          <t>Newcastle</t>
        </is>
      </c>
      <c r="B17" s="4" t="n">
        <v>125</v>
      </c>
      <c r="C17" s="4" t="n">
        <v>1</v>
      </c>
      <c r="D17" s="4" t="n">
        <v>24</v>
      </c>
      <c r="E17" s="4" t="n">
        <v>73</v>
      </c>
      <c r="F17" s="4" t="n">
        <v>223</v>
      </c>
      <c r="G17" s="5" t="n">
        <v>0.3273542600896861</v>
      </c>
    </row>
    <row r="18">
      <c r="A18" s="4" t="inlineStr">
        <is>
          <t>Box Hill</t>
        </is>
      </c>
      <c r="B18" s="4" t="n">
        <v>137</v>
      </c>
      <c r="C18" s="4" t="n">
        <v>0</v>
      </c>
      <c r="D18" s="4" t="n">
        <v>27</v>
      </c>
      <c r="E18" s="4" t="n">
        <v>77</v>
      </c>
      <c r="F18" s="4" t="n">
        <v>241</v>
      </c>
      <c r="G18" s="5" t="n">
        <v>0.3195020746887967</v>
      </c>
    </row>
    <row r="19">
      <c r="A19" s="4" t="inlineStr">
        <is>
          <t>Ballarat</t>
        </is>
      </c>
      <c r="B19" s="4" t="n">
        <v>126</v>
      </c>
      <c r="C19" s="4" t="n">
        <v>0</v>
      </c>
      <c r="D19" s="4" t="n">
        <v>30</v>
      </c>
      <c r="E19" s="4" t="n">
        <v>71</v>
      </c>
      <c r="F19" s="4" t="n">
        <v>227</v>
      </c>
      <c r="G19" s="5" t="n">
        <v>0.3127753303964758</v>
      </c>
    </row>
    <row r="20">
      <c r="A20" s="4" t="inlineStr">
        <is>
          <t>Ringwood</t>
        </is>
      </c>
      <c r="B20" s="4" t="n">
        <v>191</v>
      </c>
      <c r="C20" s="4" t="n">
        <v>1</v>
      </c>
      <c r="D20" s="4" t="n">
        <v>38</v>
      </c>
      <c r="E20" s="4" t="n">
        <v>103</v>
      </c>
      <c r="F20" s="4" t="n">
        <v>333</v>
      </c>
      <c r="G20" s="5" t="n">
        <v>0.3093093093093093</v>
      </c>
    </row>
    <row r="21">
      <c r="A21" s="4" t="inlineStr">
        <is>
          <t>Penrith</t>
        </is>
      </c>
      <c r="B21" s="4" t="n">
        <v>206</v>
      </c>
      <c r="C21" s="4" t="n">
        <v>0</v>
      </c>
      <c r="D21" s="4" t="n">
        <v>26</v>
      </c>
      <c r="E21" s="4" t="n">
        <v>103</v>
      </c>
      <c r="F21" s="4" t="n">
        <v>335</v>
      </c>
      <c r="G21" s="5" t="n">
        <v>0.3074626865671642</v>
      </c>
    </row>
    <row r="22">
      <c r="A22" s="4" t="inlineStr">
        <is>
          <t>Bendigo</t>
        </is>
      </c>
      <c r="B22" s="4" t="n">
        <v>59</v>
      </c>
      <c r="C22" s="4" t="n">
        <v>0</v>
      </c>
      <c r="D22" s="4" t="n">
        <v>13</v>
      </c>
      <c r="E22" s="4" t="n">
        <v>31</v>
      </c>
      <c r="F22" s="4" t="n">
        <v>103</v>
      </c>
      <c r="G22" s="5" t="n">
        <v>0.3009708737864077</v>
      </c>
    </row>
    <row r="23">
      <c r="A23" s="4" t="inlineStr">
        <is>
          <t>Tamworth</t>
        </is>
      </c>
      <c r="B23" s="4" t="n">
        <v>59</v>
      </c>
      <c r="C23" s="4" t="n">
        <v>0</v>
      </c>
      <c r="D23" s="4" t="n">
        <v>13</v>
      </c>
      <c r="E23" s="4" t="n">
        <v>30</v>
      </c>
      <c r="F23" s="4" t="n">
        <v>102</v>
      </c>
      <c r="G23" s="5" t="n">
        <v>0.2941176470588235</v>
      </c>
    </row>
    <row r="24">
      <c r="A24" s="4" t="inlineStr">
        <is>
          <t>Liverpool</t>
        </is>
      </c>
      <c r="B24" s="4" t="n">
        <v>143</v>
      </c>
      <c r="C24" s="4" t="n">
        <v>1</v>
      </c>
      <c r="D24" s="4" t="n">
        <v>25</v>
      </c>
      <c r="E24" s="4" t="n">
        <v>68</v>
      </c>
      <c r="F24" s="4" t="n">
        <v>237</v>
      </c>
      <c r="G24" s="5" t="n">
        <v>0.2869198312236287</v>
      </c>
    </row>
    <row r="25">
      <c r="A25" s="4" t="inlineStr">
        <is>
          <t>Wollongong</t>
        </is>
      </c>
      <c r="B25" s="4" t="n">
        <v>132</v>
      </c>
      <c r="C25" s="4" t="n">
        <v>0</v>
      </c>
      <c r="D25" s="4" t="n">
        <v>23</v>
      </c>
      <c r="E25" s="4" t="n">
        <v>62</v>
      </c>
      <c r="F25" s="4" t="n">
        <v>217</v>
      </c>
      <c r="G25" s="5" t="n">
        <v>0.2857142857142857</v>
      </c>
    </row>
    <row r="26">
      <c r="A26" s="4" t="inlineStr">
        <is>
          <t>Shepparton</t>
        </is>
      </c>
      <c r="B26" s="4" t="n">
        <v>23</v>
      </c>
      <c r="C26" s="4" t="n">
        <v>0</v>
      </c>
      <c r="D26" s="4" t="n">
        <v>3</v>
      </c>
      <c r="E26" s="4" t="n">
        <v>10</v>
      </c>
      <c r="F26" s="4" t="n">
        <v>36</v>
      </c>
      <c r="G26" s="5" t="n">
        <v>0.2777777777777778</v>
      </c>
    </row>
    <row r="27">
      <c r="A27" s="4" t="inlineStr">
        <is>
          <t>Springwood</t>
        </is>
      </c>
      <c r="B27" s="4" t="n">
        <v>150</v>
      </c>
      <c r="C27" s="4" t="n">
        <v>0</v>
      </c>
      <c r="D27" s="4" t="n">
        <v>22</v>
      </c>
      <c r="E27" s="4" t="n">
        <v>54</v>
      </c>
      <c r="F27" s="4" t="n">
        <v>226</v>
      </c>
      <c r="G27" s="5" t="n">
        <v>0.2389380530973451</v>
      </c>
    </row>
    <row r="28">
      <c r="A28" s="4" t="inlineStr">
        <is>
          <t>Noosa</t>
        </is>
      </c>
      <c r="B28" s="4" t="n">
        <v>35</v>
      </c>
      <c r="C28" s="4" t="n">
        <v>0</v>
      </c>
      <c r="D28" s="4" t="n">
        <v>0</v>
      </c>
      <c r="E28" s="4" t="n">
        <v>2</v>
      </c>
      <c r="F28" s="4" t="n">
        <v>37</v>
      </c>
      <c r="G28" s="5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9" customWidth="1" min="3" max="3"/>
    <col width="31" customWidth="1" min="4" max="4"/>
    <col width="19" customWidth="1" min="5" max="5"/>
    <col width="26" customWidth="1" min="6" max="6"/>
    <col width="28" customWidth="1" min="7" max="7"/>
    <col width="25" customWidth="1" min="8" max="8"/>
    <col width="33" customWidth="1" min="9" max="9"/>
  </cols>
  <sheetData>
    <row r="1">
      <c r="A1" s="1" t="inlineStr">
        <is>
          <t>Issue Theme Trends Over Time</t>
        </is>
      </c>
    </row>
    <row r="2">
      <c r="A2" s="2" t="inlineStr">
        <is>
          <t>Top 8 themes by total issue count, monthly.</t>
        </is>
      </c>
    </row>
    <row r="3"/>
    <row r="4">
      <c r="A4" s="3" t="inlineStr">
        <is>
          <t>Month</t>
        </is>
      </c>
      <c r="B4" s="3" t="inlineStr">
        <is>
          <t>Communication &amp; Updates</t>
        </is>
      </c>
      <c r="C4" s="3" t="inlineStr">
        <is>
          <t>Parts Availability &amp; Delays</t>
        </is>
      </c>
      <c r="D4" s="3" t="inlineStr">
        <is>
          <t>Positive Experience (General)</t>
        </is>
      </c>
      <c r="E4" s="3" t="inlineStr">
        <is>
          <t>Pricing &amp; Charges</t>
        </is>
      </c>
      <c r="F4" s="3" t="inlineStr">
        <is>
          <t>Repair &amp; Service Quality</t>
        </is>
      </c>
      <c r="G4" s="3" t="inlineStr">
        <is>
          <t>Staff Attitude &amp; Behaviour</t>
        </is>
      </c>
      <c r="H4" s="3" t="inlineStr">
        <is>
          <t>Timeliness &amp; Wait Times</t>
        </is>
      </c>
      <c r="I4" s="3" t="inlineStr">
        <is>
          <t>Vehicle Knowledge &amp; Explanation</t>
        </is>
      </c>
    </row>
    <row r="5">
      <c r="A5" s="4" t="inlineStr">
        <is>
          <t>2025-10</t>
        </is>
      </c>
      <c r="B5" s="4" t="n">
        <v>122</v>
      </c>
      <c r="C5" s="4" t="n">
        <v>21</v>
      </c>
      <c r="D5" s="4" t="n">
        <v>27</v>
      </c>
      <c r="E5" s="4" t="n">
        <v>58</v>
      </c>
      <c r="F5" s="4" t="n">
        <v>28</v>
      </c>
      <c r="G5" s="4" t="n">
        <v>107</v>
      </c>
      <c r="H5" s="4" t="n">
        <v>82</v>
      </c>
      <c r="I5" s="4" t="n">
        <v>61</v>
      </c>
    </row>
    <row r="6">
      <c r="A6" s="4" t="inlineStr">
        <is>
          <t>2025-11</t>
        </is>
      </c>
      <c r="B6" s="4" t="n">
        <v>101</v>
      </c>
      <c r="C6" s="4" t="n">
        <v>7</v>
      </c>
      <c r="D6" s="4" t="n">
        <v>20</v>
      </c>
      <c r="E6" s="4" t="n">
        <v>66</v>
      </c>
      <c r="F6" s="4" t="n">
        <v>28</v>
      </c>
      <c r="G6" s="4" t="n">
        <v>102</v>
      </c>
      <c r="H6" s="4" t="n">
        <v>83</v>
      </c>
      <c r="I6" s="4" t="n">
        <v>56</v>
      </c>
    </row>
    <row r="7">
      <c r="A7" s="4" t="inlineStr">
        <is>
          <t>2025-12</t>
        </is>
      </c>
      <c r="B7" s="4" t="n">
        <v>102</v>
      </c>
      <c r="C7" s="4" t="n">
        <v>16</v>
      </c>
      <c r="D7" s="4" t="n">
        <v>27</v>
      </c>
      <c r="E7" s="4" t="n">
        <v>48</v>
      </c>
      <c r="F7" s="4" t="n">
        <v>29</v>
      </c>
      <c r="G7" s="4" t="n">
        <v>98</v>
      </c>
      <c r="H7" s="4" t="n">
        <v>77</v>
      </c>
      <c r="I7" s="4" t="n">
        <v>54</v>
      </c>
    </row>
    <row r="8">
      <c r="A8" s="4" t="inlineStr">
        <is>
          <t>2026-01</t>
        </is>
      </c>
      <c r="B8" s="4" t="n">
        <v>111</v>
      </c>
      <c r="C8" s="4" t="n">
        <v>15</v>
      </c>
      <c r="D8" s="4" t="n">
        <v>23</v>
      </c>
      <c r="E8" s="4" t="n">
        <v>49</v>
      </c>
      <c r="F8" s="4" t="n">
        <v>32</v>
      </c>
      <c r="G8" s="4" t="n">
        <v>84</v>
      </c>
      <c r="H8" s="4" t="n">
        <v>90</v>
      </c>
      <c r="I8" s="4" t="n">
        <v>50</v>
      </c>
    </row>
    <row r="9">
      <c r="A9" s="4" t="inlineStr">
        <is>
          <t>2026-02</t>
        </is>
      </c>
      <c r="B9" s="4" t="n">
        <v>110</v>
      </c>
      <c r="C9" s="4" t="n">
        <v>18</v>
      </c>
      <c r="D9" s="4" t="n">
        <v>32</v>
      </c>
      <c r="E9" s="4" t="n">
        <v>63</v>
      </c>
      <c r="F9" s="4" t="n">
        <v>35</v>
      </c>
      <c r="G9" s="4" t="n">
        <v>87</v>
      </c>
      <c r="H9" s="4" t="n">
        <v>84</v>
      </c>
      <c r="I9" s="4" t="n">
        <v>59</v>
      </c>
    </row>
    <row r="10">
      <c r="A10" s="4" t="inlineStr">
        <is>
          <t>2026-03</t>
        </is>
      </c>
      <c r="B10" s="4" t="n">
        <v>139</v>
      </c>
      <c r="C10" s="4" t="n">
        <v>10</v>
      </c>
      <c r="D10" s="4" t="n">
        <v>27</v>
      </c>
      <c r="E10" s="4" t="n">
        <v>61</v>
      </c>
      <c r="F10" s="4" t="n">
        <v>41</v>
      </c>
      <c r="G10" s="4" t="n">
        <v>118</v>
      </c>
      <c r="H10" s="4" t="n">
        <v>84</v>
      </c>
      <c r="I10" s="4" t="n">
        <v>56</v>
      </c>
    </row>
    <row r="11">
      <c r="A11" s="4" t="inlineStr">
        <is>
          <t>2026-04</t>
        </is>
      </c>
      <c r="B11" s="4" t="n">
        <v>118</v>
      </c>
      <c r="C11" s="4" t="n">
        <v>64</v>
      </c>
      <c r="D11" s="4" t="n">
        <v>33</v>
      </c>
      <c r="E11" s="4" t="n">
        <v>71</v>
      </c>
      <c r="F11" s="4" t="n">
        <v>22</v>
      </c>
      <c r="G11" s="4" t="n">
        <v>107</v>
      </c>
      <c r="H11" s="4" t="n">
        <v>87</v>
      </c>
      <c r="I11" s="4" t="n">
        <v>55</v>
      </c>
    </row>
    <row r="12">
      <c r="A12" s="4" t="inlineStr">
        <is>
          <t>2026-05</t>
        </is>
      </c>
      <c r="B12" s="4" t="n">
        <v>119</v>
      </c>
      <c r="C12" s="4" t="n">
        <v>60</v>
      </c>
      <c r="D12" s="4" t="n">
        <v>28</v>
      </c>
      <c r="E12" s="4" t="n">
        <v>62</v>
      </c>
      <c r="F12" s="4" t="n">
        <v>40</v>
      </c>
      <c r="G12" s="4" t="n">
        <v>122</v>
      </c>
      <c r="H12" s="4" t="n">
        <v>76</v>
      </c>
      <c r="I12" s="4" t="n">
        <v>56</v>
      </c>
    </row>
    <row r="13">
      <c r="A13" s="4" t="inlineStr">
        <is>
          <t>2026-06</t>
        </is>
      </c>
      <c r="B13" s="4" t="n">
        <v>103</v>
      </c>
      <c r="C13" s="4" t="n">
        <v>69</v>
      </c>
      <c r="D13" s="4" t="n">
        <v>36</v>
      </c>
      <c r="E13" s="4" t="n">
        <v>61</v>
      </c>
      <c r="F13" s="4" t="n">
        <v>25</v>
      </c>
      <c r="G13" s="4" t="n">
        <v>99</v>
      </c>
      <c r="H13" s="4" t="n">
        <v>86</v>
      </c>
      <c r="I13" s="4" t="n">
        <v>72</v>
      </c>
    </row>
    <row r="14">
      <c r="A14" s="4" t="inlineStr">
        <is>
          <t>2026-07</t>
        </is>
      </c>
      <c r="B14" s="4" t="n">
        <v>121</v>
      </c>
      <c r="C14" s="4" t="n">
        <v>17</v>
      </c>
      <c r="D14" s="4" t="n">
        <v>25</v>
      </c>
      <c r="E14" s="4" t="n">
        <v>64</v>
      </c>
      <c r="F14" s="4" t="n">
        <v>28</v>
      </c>
      <c r="G14" s="4" t="n">
        <v>110</v>
      </c>
      <c r="H14" s="4" t="n">
        <v>89</v>
      </c>
      <c r="I14" s="4" t="n">
        <v>78</v>
      </c>
    </row>
    <row r="15">
      <c r="A15" s="4" t="inlineStr">
        <is>
          <t>2026-08</t>
        </is>
      </c>
      <c r="B15" s="4" t="n">
        <v>124</v>
      </c>
      <c r="C15" s="4" t="n">
        <v>21</v>
      </c>
      <c r="D15" s="4" t="n">
        <v>29</v>
      </c>
      <c r="E15" s="4" t="n">
        <v>78</v>
      </c>
      <c r="F15" s="4" t="n">
        <v>37</v>
      </c>
      <c r="G15" s="4" t="n">
        <v>114</v>
      </c>
      <c r="H15" s="4" t="n">
        <v>87</v>
      </c>
      <c r="I15" s="4" t="n">
        <v>66</v>
      </c>
    </row>
    <row r="16">
      <c r="A16" s="4" t="inlineStr">
        <is>
          <t>2026-09</t>
        </is>
      </c>
      <c r="B16" s="4" t="n">
        <v>106</v>
      </c>
      <c r="C16" s="4" t="n">
        <v>16</v>
      </c>
      <c r="D16" s="4" t="n">
        <v>30</v>
      </c>
      <c r="E16" s="4" t="n">
        <v>75</v>
      </c>
      <c r="F16" s="4" t="n">
        <v>40</v>
      </c>
      <c r="G16" s="4" t="n">
        <v>118</v>
      </c>
      <c r="H16" s="4" t="n">
        <v>86</v>
      </c>
      <c r="I16" s="4" t="n">
        <v>82</v>
      </c>
    </row>
    <row r="17">
      <c r="A17" s="4" t="inlineStr">
        <is>
          <t>2026-10</t>
        </is>
      </c>
      <c r="B17" s="4" t="n">
        <v>1</v>
      </c>
      <c r="C17" s="4" t="n">
        <v>1</v>
      </c>
      <c r="D17" s="4" t="n">
        <v>1</v>
      </c>
      <c r="E17" s="4" t="n">
        <v>3</v>
      </c>
      <c r="F17" s="4" t="n">
        <v>0</v>
      </c>
      <c r="G17" s="4" t="n">
        <v>1</v>
      </c>
      <c r="H17" s="4" t="n">
        <v>0</v>
      </c>
      <c r="I17" s="4" t="n">
        <v>0</v>
      </c>
    </row>
    <row r="18">
      <c r="A18" s="4" t="inlineStr">
        <is>
          <t>2026-11</t>
        </is>
      </c>
      <c r="B18" s="4" t="n">
        <v>2</v>
      </c>
      <c r="C18" s="4" t="n">
        <v>0</v>
      </c>
      <c r="D18" s="4" t="n">
        <v>1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4" t="inlineStr">
        <is>
          <t>2026-12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1</v>
      </c>
      <c r="G19" s="4" t="n">
        <v>0</v>
      </c>
      <c r="H19" s="4" t="n">
        <v>0</v>
      </c>
      <c r="I19" s="4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26" customWidth="1" min="4" max="4"/>
    <col width="19" customWidth="1" min="5" max="5"/>
    <col width="29" customWidth="1" min="6" max="6"/>
    <col width="28" customWidth="1" min="7" max="7"/>
    <col width="22" customWidth="1" min="8" max="8"/>
    <col width="16" customWidth="1" min="9" max="9"/>
    <col width="24" customWidth="1" min="10" max="10"/>
    <col width="26" customWidth="1" min="11" max="11"/>
    <col width="33" customWidth="1" min="12" max="12"/>
    <col width="31" customWidth="1" min="13" max="13"/>
    <col width="24" customWidth="1" min="14" max="14"/>
  </cols>
  <sheetData>
    <row r="1">
      <c r="A1" s="1" t="inlineStr">
        <is>
          <t>Negative Issues: Department × Theme Matrix</t>
        </is>
      </c>
    </row>
    <row r="2">
      <c r="A2" s="2" t="inlineStr">
        <is>
          <t>Conditional colour scale highlights hotspots (white → red).</t>
        </is>
      </c>
    </row>
    <row r="3"/>
    <row r="4">
      <c r="A4" s="3" t="inlineStr">
        <is>
          <t>Department</t>
        </is>
      </c>
      <c r="B4" s="3" t="inlineStr">
        <is>
          <t>Communication &amp; Updates</t>
        </is>
      </c>
      <c r="C4" s="3" t="inlineStr">
        <is>
          <t>Timeliness &amp; Wait Times</t>
        </is>
      </c>
      <c r="D4" s="3" t="inlineStr">
        <is>
          <t>Repair &amp; Service Quality</t>
        </is>
      </c>
      <c r="E4" s="3" t="inlineStr">
        <is>
          <t>Pricing &amp; Charges</t>
        </is>
      </c>
      <c r="F4" s="3" t="inlineStr">
        <is>
          <t>Parts Availability &amp; Delays</t>
        </is>
      </c>
      <c r="G4" s="3" t="inlineStr">
        <is>
          <t>Staff Attitude &amp; Behaviour</t>
        </is>
      </c>
      <c r="H4" s="3" t="inlineStr">
        <is>
          <t>Booking &amp; Scheduling</t>
        </is>
      </c>
      <c r="I4" s="3" t="inlineStr">
        <is>
          <t>Safety Concern</t>
        </is>
      </c>
      <c r="J4" s="3" t="inlineStr">
        <is>
          <t>Facilities &amp; Amenities</t>
        </is>
      </c>
      <c r="K4" s="3" t="inlineStr">
        <is>
          <t>Sales Process &amp; Handover</t>
        </is>
      </c>
      <c r="L4" s="3" t="inlineStr">
        <is>
          <t>Vehicle Knowledge &amp; Explanation</t>
        </is>
      </c>
      <c r="M4" s="3" t="inlineStr">
        <is>
          <t>Positive Experience (General)</t>
        </is>
      </c>
      <c r="N4" s="3" t="inlineStr">
        <is>
          <t>Insufficient / Unclear</t>
        </is>
      </c>
    </row>
    <row r="5">
      <c r="A5" s="6" t="inlineStr">
        <is>
          <t>Parts</t>
        </is>
      </c>
      <c r="B5" s="7" t="n">
        <v>67</v>
      </c>
      <c r="C5" s="8" t="n">
        <v>25</v>
      </c>
      <c r="D5" s="9" t="n">
        <v>1</v>
      </c>
      <c r="E5" s="10" t="n">
        <v>31</v>
      </c>
      <c r="F5" s="11" t="n">
        <v>109</v>
      </c>
      <c r="G5" s="12" t="n">
        <v>23</v>
      </c>
      <c r="H5" s="9" t="n">
        <v>2</v>
      </c>
      <c r="I5" s="13" t="n">
        <v>5</v>
      </c>
      <c r="J5" s="14" t="n">
        <v>0</v>
      </c>
      <c r="K5" s="14" t="n">
        <v>0</v>
      </c>
      <c r="L5" s="14" t="n">
        <v>0</v>
      </c>
      <c r="M5" s="9" t="n">
        <v>1</v>
      </c>
      <c r="N5" s="14" t="n">
        <v>0</v>
      </c>
    </row>
    <row r="6">
      <c r="A6" s="6" t="inlineStr">
        <is>
          <t>Sales</t>
        </is>
      </c>
      <c r="B6" s="15" t="n">
        <v>72</v>
      </c>
      <c r="C6" s="10" t="n">
        <v>31</v>
      </c>
      <c r="D6" s="13" t="n">
        <v>7</v>
      </c>
      <c r="E6" s="10" t="n">
        <v>31</v>
      </c>
      <c r="F6" s="9" t="n">
        <v>3</v>
      </c>
      <c r="G6" s="16" t="n">
        <v>54</v>
      </c>
      <c r="H6" s="14" t="n">
        <v>0</v>
      </c>
      <c r="I6" s="13" t="n">
        <v>8</v>
      </c>
      <c r="J6" s="17" t="n">
        <v>10</v>
      </c>
      <c r="K6" s="18" t="n">
        <v>104</v>
      </c>
      <c r="L6" s="19" t="n">
        <v>46</v>
      </c>
      <c r="M6" s="9" t="n">
        <v>1</v>
      </c>
      <c r="N6" s="9" t="n">
        <v>3</v>
      </c>
    </row>
    <row r="7">
      <c r="A7" s="6" t="inlineStr">
        <is>
          <t>Service</t>
        </is>
      </c>
      <c r="B7" s="20" t="n">
        <v>715</v>
      </c>
      <c r="C7" s="21" t="n">
        <v>368</v>
      </c>
      <c r="D7" s="22" t="n">
        <v>369</v>
      </c>
      <c r="E7" s="23" t="n">
        <v>304</v>
      </c>
      <c r="F7" s="24" t="n">
        <v>187</v>
      </c>
      <c r="G7" s="25" t="n">
        <v>143</v>
      </c>
      <c r="H7" s="26" t="n">
        <v>215</v>
      </c>
      <c r="I7" s="27" t="n">
        <v>118</v>
      </c>
      <c r="J7" s="27" t="n">
        <v>117</v>
      </c>
      <c r="K7" s="14" t="n">
        <v>0</v>
      </c>
      <c r="L7" s="19" t="n">
        <v>45</v>
      </c>
      <c r="M7" s="28" t="n">
        <v>13</v>
      </c>
      <c r="N7" s="13" t="n">
        <v>5</v>
      </c>
    </row>
    <row r="8">
      <c r="A8" s="6" t="inlineStr">
        <is>
          <t>Unknown</t>
        </is>
      </c>
      <c r="B8" s="9" t="n">
        <v>1</v>
      </c>
      <c r="C8" s="9" t="n">
        <v>1</v>
      </c>
      <c r="D8" s="14" t="n">
        <v>0</v>
      </c>
      <c r="E8" s="9" t="n">
        <v>1</v>
      </c>
      <c r="F8" s="14" t="n">
        <v>0</v>
      </c>
      <c r="G8" s="9" t="n">
        <v>1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</row>
  </sheetData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59669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21" customWidth="1" min="7" max="7"/>
  </cols>
  <sheetData>
    <row r="1">
      <c r="A1" s="1" t="inlineStr">
        <is>
          <t>Issue Severity by Department</t>
        </is>
      </c>
    </row>
    <row r="2">
      <c r="A2" s="2" t="inlineStr">
        <is>
          <t>AI-classified severity levels across departments.</t>
        </is>
      </c>
    </row>
    <row r="3"/>
    <row r="4">
      <c r="A4" s="3" t="inlineStr">
        <is>
          <t>Department</t>
        </is>
      </c>
      <c r="B4" s="3" t="inlineStr">
        <is>
          <t>Low</t>
        </is>
      </c>
      <c r="C4" s="3" t="inlineStr">
        <is>
          <t>Moderate</t>
        </is>
      </c>
      <c r="D4" s="3" t="inlineStr">
        <is>
          <t>High</t>
        </is>
      </c>
      <c r="E4" s="3" t="inlineStr">
        <is>
          <t>Critical</t>
        </is>
      </c>
      <c r="F4" s="3" t="inlineStr">
        <is>
          <t>Total</t>
        </is>
      </c>
      <c r="G4" s="3" t="inlineStr">
        <is>
          <t>High+Critical %</t>
        </is>
      </c>
    </row>
    <row r="5">
      <c r="A5" s="4" t="inlineStr">
        <is>
          <t>Parts</t>
        </is>
      </c>
      <c r="B5" s="4" t="n">
        <v>392</v>
      </c>
      <c r="C5" s="4" t="n">
        <v>178</v>
      </c>
      <c r="D5" s="4" t="n">
        <v>72</v>
      </c>
      <c r="E5" s="4" t="n">
        <v>5</v>
      </c>
      <c r="F5" s="4" t="n">
        <v>647</v>
      </c>
      <c r="G5" s="5" t="n">
        <v>0.1190108191653787</v>
      </c>
    </row>
    <row r="6">
      <c r="A6" s="4" t="inlineStr">
        <is>
          <t>Sales</t>
        </is>
      </c>
      <c r="B6" s="4" t="n">
        <v>957</v>
      </c>
      <c r="C6" s="4" t="n">
        <v>185</v>
      </c>
      <c r="D6" s="4" t="n">
        <v>160</v>
      </c>
      <c r="E6" s="4" t="n">
        <v>9</v>
      </c>
      <c r="F6" s="4" t="n">
        <v>1311</v>
      </c>
      <c r="G6" s="5" t="n">
        <v>0.1289092295957285</v>
      </c>
    </row>
    <row r="7">
      <c r="A7" s="4" t="inlineStr">
        <is>
          <t>Service</t>
        </is>
      </c>
      <c r="B7" s="4" t="n">
        <v>2600</v>
      </c>
      <c r="C7" s="4" t="n">
        <v>1318</v>
      </c>
      <c r="D7" s="4" t="n">
        <v>975</v>
      </c>
      <c r="E7" s="4" t="n">
        <v>148</v>
      </c>
      <c r="F7" s="4" t="n">
        <v>5041</v>
      </c>
      <c r="G7" s="5" t="n">
        <v>0.2227732592739536</v>
      </c>
    </row>
    <row r="8">
      <c r="A8" s="4" t="inlineStr">
        <is>
          <t>Unknown</t>
        </is>
      </c>
      <c r="B8" s="4" t="n">
        <v>5</v>
      </c>
      <c r="C8" s="4" t="n">
        <v>2</v>
      </c>
      <c r="D8" s="4" t="n">
        <v>1</v>
      </c>
      <c r="E8" s="4" t="n">
        <v>0</v>
      </c>
      <c r="F8" s="4" t="n">
        <v>8</v>
      </c>
      <c r="G8" s="5" t="n">
        <v>0.125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891B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0" customWidth="1" min="4" max="4"/>
    <col width="10" customWidth="1" min="5" max="5"/>
    <col width="21" customWidth="1" min="6" max="6"/>
    <col width="21" customWidth="1" min="7" max="7"/>
  </cols>
  <sheetData>
    <row r="1">
      <c r="A1" s="1" t="inlineStr">
        <is>
          <t>Monthly Feedback Summary</t>
        </is>
      </c>
    </row>
    <row r="2">
      <c r="A2" s="2" t="inlineStr">
        <is>
          <t>Volume, ratings and sentiment over time.</t>
        </is>
      </c>
    </row>
    <row r="3"/>
    <row r="4">
      <c r="A4" s="3" t="inlineStr">
        <is>
          <t>Month</t>
        </is>
      </c>
      <c r="B4" s="3" t="inlineStr">
        <is>
          <t>Total Reviews</t>
        </is>
      </c>
      <c r="C4" s="3" t="inlineStr">
        <is>
          <t>Avg Rating</t>
        </is>
      </c>
      <c r="D4" s="3" t="inlineStr">
        <is>
          <t>Positive</t>
        </is>
      </c>
      <c r="E4" s="3" t="inlineStr">
        <is>
          <t>Negative</t>
        </is>
      </c>
      <c r="F4" s="3" t="inlineStr">
        <is>
          <t>Positive %</t>
        </is>
      </c>
      <c r="G4" s="3" t="inlineStr">
        <is>
          <t>Negative %</t>
        </is>
      </c>
    </row>
    <row r="5">
      <c r="A5" s="4" t="inlineStr">
        <is>
          <t>2025-10</t>
        </is>
      </c>
      <c r="B5" s="4" t="n">
        <v>583</v>
      </c>
      <c r="C5" s="4" t="n">
        <v>3.82</v>
      </c>
      <c r="D5" s="4" t="n">
        <v>239</v>
      </c>
      <c r="E5" s="4" t="n">
        <v>132</v>
      </c>
      <c r="F5" s="5" t="n">
        <v>0.4099485420240137</v>
      </c>
      <c r="G5" s="5" t="n">
        <v>0.2264150943396226</v>
      </c>
    </row>
    <row r="6">
      <c r="A6" s="4" t="inlineStr">
        <is>
          <t>2025-11</t>
        </is>
      </c>
      <c r="B6" s="4" t="n">
        <v>537</v>
      </c>
      <c r="C6" s="4" t="n">
        <v>3.85</v>
      </c>
      <c r="D6" s="4" t="n">
        <v>239</v>
      </c>
      <c r="E6" s="4" t="n">
        <v>118</v>
      </c>
      <c r="F6" s="5" t="n">
        <v>0.4450651769087523</v>
      </c>
      <c r="G6" s="5" t="n">
        <v>0.2197392923649907</v>
      </c>
    </row>
    <row r="7">
      <c r="A7" s="4" t="inlineStr">
        <is>
          <t>2025-12</t>
        </is>
      </c>
      <c r="B7" s="4" t="n">
        <v>526</v>
      </c>
      <c r="C7" s="4" t="n">
        <v>3.94</v>
      </c>
      <c r="D7" s="4" t="n">
        <v>246</v>
      </c>
      <c r="E7" s="4" t="n">
        <v>102</v>
      </c>
      <c r="F7" s="5" t="n">
        <v>0.467680608365019</v>
      </c>
      <c r="G7" s="5" t="n">
        <v>0.1939163498098859</v>
      </c>
    </row>
    <row r="8">
      <c r="A8" s="4" t="inlineStr">
        <is>
          <t>2026-01</t>
        </is>
      </c>
      <c r="B8" s="4" t="n">
        <v>518</v>
      </c>
      <c r="C8" s="4" t="n">
        <v>3.7</v>
      </c>
      <c r="D8" s="4" t="n">
        <v>213</v>
      </c>
      <c r="E8" s="4" t="n">
        <v>119</v>
      </c>
      <c r="F8" s="5" t="n">
        <v>0.4111969111969112</v>
      </c>
      <c r="G8" s="5" t="n">
        <v>0.2297297297297297</v>
      </c>
    </row>
    <row r="9">
      <c r="A9" s="4" t="inlineStr">
        <is>
          <t>2026-02</t>
        </is>
      </c>
      <c r="B9" s="4" t="n">
        <v>593</v>
      </c>
      <c r="C9" s="4" t="n">
        <v>3.89</v>
      </c>
      <c r="D9" s="4" t="n">
        <v>263</v>
      </c>
      <c r="E9" s="4" t="n">
        <v>130</v>
      </c>
      <c r="F9" s="5" t="n">
        <v>0.4435075885328836</v>
      </c>
      <c r="G9" s="5" t="n">
        <v>0.2192242833052277</v>
      </c>
    </row>
    <row r="10">
      <c r="A10" s="4" t="inlineStr">
        <is>
          <t>2026-03</t>
        </is>
      </c>
      <c r="B10" s="4" t="n">
        <v>614</v>
      </c>
      <c r="C10" s="4" t="n">
        <v>3.77</v>
      </c>
      <c r="D10" s="4" t="n">
        <v>251</v>
      </c>
      <c r="E10" s="4" t="n">
        <v>151</v>
      </c>
      <c r="F10" s="5" t="n">
        <v>0.4087947882736157</v>
      </c>
      <c r="G10" s="5" t="n">
        <v>0.245928338762215</v>
      </c>
    </row>
    <row r="11">
      <c r="A11" s="4" t="inlineStr">
        <is>
          <t>2026-04</t>
        </is>
      </c>
      <c r="B11" s="4" t="n">
        <v>601</v>
      </c>
      <c r="C11" s="4" t="n">
        <v>3.61</v>
      </c>
      <c r="D11" s="4" t="n">
        <v>259</v>
      </c>
      <c r="E11" s="4" t="n">
        <v>169</v>
      </c>
      <c r="F11" s="5" t="n">
        <v>0.4309484193011647</v>
      </c>
      <c r="G11" s="5" t="n">
        <v>0.281198003327787</v>
      </c>
    </row>
    <row r="12">
      <c r="A12" s="4" t="inlineStr">
        <is>
          <t>2026-05</t>
        </is>
      </c>
      <c r="B12" s="4" t="n">
        <v>618</v>
      </c>
      <c r="C12" s="4" t="n">
        <v>3.68</v>
      </c>
      <c r="D12" s="4" t="n">
        <v>256</v>
      </c>
      <c r="E12" s="4" t="n">
        <v>162</v>
      </c>
      <c r="F12" s="5" t="n">
        <v>0.4142394822006473</v>
      </c>
      <c r="G12" s="5" t="n">
        <v>0.2621359223300971</v>
      </c>
    </row>
    <row r="13">
      <c r="A13" s="4" t="inlineStr">
        <is>
          <t>2026-06</t>
        </is>
      </c>
      <c r="B13" s="4" t="n">
        <v>609</v>
      </c>
      <c r="C13" s="4" t="n">
        <v>3.59</v>
      </c>
      <c r="D13" s="4" t="n">
        <v>243</v>
      </c>
      <c r="E13" s="4" t="n">
        <v>182</v>
      </c>
      <c r="F13" s="5" t="n">
        <v>0.3990147783251232</v>
      </c>
      <c r="G13" s="5" t="n">
        <v>0.2988505747126437</v>
      </c>
    </row>
    <row r="14">
      <c r="A14" s="4" t="inlineStr">
        <is>
          <t>2026-07</t>
        </is>
      </c>
      <c r="B14" s="4" t="n">
        <v>606</v>
      </c>
      <c r="C14" s="4" t="n">
        <v>3.7</v>
      </c>
      <c r="D14" s="4" t="n">
        <v>241</v>
      </c>
      <c r="E14" s="4" t="n">
        <v>154</v>
      </c>
      <c r="F14" s="5" t="n">
        <v>0.3976897689768977</v>
      </c>
      <c r="G14" s="5" t="n">
        <v>0.2541254125412541</v>
      </c>
    </row>
    <row r="15">
      <c r="A15" s="4" t="inlineStr">
        <is>
          <t>2026-08</t>
        </is>
      </c>
      <c r="B15" s="4" t="n">
        <v>612</v>
      </c>
      <c r="C15" s="4" t="n">
        <v>3.56</v>
      </c>
      <c r="D15" s="4" t="n">
        <v>248</v>
      </c>
      <c r="E15" s="4" t="n">
        <v>187</v>
      </c>
      <c r="F15" s="5" t="n">
        <v>0.4052287581699346</v>
      </c>
      <c r="G15" s="5" t="n">
        <v>0.3055555555555556</v>
      </c>
    </row>
    <row r="16">
      <c r="A16" s="4" t="inlineStr">
        <is>
          <t>2026-09</t>
        </is>
      </c>
      <c r="B16" s="4" t="n">
        <v>616</v>
      </c>
      <c r="C16" s="4" t="n">
        <v>3.73</v>
      </c>
      <c r="D16" s="4" t="n">
        <v>257</v>
      </c>
      <c r="E16" s="4" t="n">
        <v>170</v>
      </c>
      <c r="F16" s="5" t="n">
        <v>0.4172077922077922</v>
      </c>
      <c r="G16" s="5" t="n">
        <v>0.275974025974026</v>
      </c>
    </row>
    <row r="17">
      <c r="A17" s="4" t="inlineStr">
        <is>
          <t>2026-10</t>
        </is>
      </c>
      <c r="B17" s="4" t="n">
        <v>6</v>
      </c>
      <c r="C17" s="4" t="n">
        <v>3.67</v>
      </c>
      <c r="D17" s="4" t="n">
        <v>3</v>
      </c>
      <c r="E17" s="4" t="n">
        <v>2</v>
      </c>
      <c r="F17" s="5" t="n">
        <v>0.5</v>
      </c>
      <c r="G17" s="5" t="n">
        <v>0.3333333333333333</v>
      </c>
    </row>
    <row r="18">
      <c r="A18" s="4" t="inlineStr">
        <is>
          <t>2026-11</t>
        </is>
      </c>
      <c r="B18" s="4" t="n">
        <v>4</v>
      </c>
      <c r="C18" s="4" t="n">
        <v>4.5</v>
      </c>
      <c r="D18" s="4" t="n">
        <v>3</v>
      </c>
      <c r="E18" s="4" t="n">
        <v>0</v>
      </c>
      <c r="F18" s="5" t="n">
        <v>0.75</v>
      </c>
      <c r="G18" s="5" t="n">
        <v>0</v>
      </c>
    </row>
    <row r="19">
      <c r="A19" s="4" t="inlineStr">
        <is>
          <t>2026-12</t>
        </is>
      </c>
      <c r="B19" s="4" t="n">
        <v>2</v>
      </c>
      <c r="C19" s="4" t="n">
        <v>4</v>
      </c>
      <c r="D19" s="4" t="n">
        <v>0</v>
      </c>
      <c r="E19" s="4" t="n">
        <v>1</v>
      </c>
      <c r="F19" s="5" t="n">
        <v>0</v>
      </c>
      <c r="G19" s="5" t="n">
        <v>0.5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2026-10-29T03:50:26Z</dcterms:created>
  <dcterms:modified xsi:type="dcterms:W3CDTF">2026-10-29T03:50:26Z</dcterms:modified>
</cp:coreProperties>
</file>